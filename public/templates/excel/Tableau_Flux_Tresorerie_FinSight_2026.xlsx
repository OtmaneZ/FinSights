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ux de Trésorerie" sheetId="1" state="visible" r:id="rId3"/>
    <sheet name="Hypotheses" sheetId="2" state="visible" r:id="rId4"/>
    <sheet name="Tableau de Bo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<sst xmlns="http://schemas.openxmlformats.org/spreadsheetml/2006/main" count="143" uniqueCount="118">
  <si>
    <t xml:space="preserve">  TABLEAU DES FLUX DE TRÉSORERIE  —  Méthode Indirecte</t>
  </si>
  <si>
    <t xml:space="preserve">  PCG français · Exercice 2026 · Comparatif N / N-1</t>
  </si>
  <si>
    <t xml:space="preserve">LIBELLÉ</t>
  </si>
  <si>
    <t xml:space="preserve">Jan</t>
  </si>
  <si>
    <t xml:space="preserve">Fév</t>
  </si>
  <si>
    <t xml:space="preserve">Mar</t>
  </si>
  <si>
    <t xml:space="preserve">Avr</t>
  </si>
  <si>
    <t xml:space="preserve">Mai</t>
  </si>
  <si>
    <t xml:space="preserve">Jun</t>
  </si>
  <si>
    <t xml:space="preserve">Jul</t>
  </si>
  <si>
    <t xml:space="preserve">Aoû</t>
  </si>
  <si>
    <t xml:space="preserve">Sep</t>
  </si>
  <si>
    <t xml:space="preserve">Oct</t>
  </si>
  <si>
    <t xml:space="preserve">Nov</t>
  </si>
  <si>
    <t xml:space="preserve">Déc</t>
  </si>
  <si>
    <t xml:space="preserve">TOTAL 2026</t>
  </si>
  <si>
    <t xml:space="preserve">N-1 Réel</t>
  </si>
  <si>
    <t xml:space="preserve">  I.  FLUX DE TRÉSORERIE D'EXPLOITATION</t>
  </si>
  <si>
    <t xml:space="preserve">Résultat de l'exercice (point de départ)</t>
  </si>
  <si>
    <t xml:space="preserve">   + Retraitements non-cash (charges sans sortie de trésorerie)</t>
  </si>
  <si>
    <t xml:space="preserve">Dotations aux amortissements et provisions</t>
  </si>
  <si>
    <t xml:space="preserve">Reprises sur amortissements et provisions</t>
  </si>
  <si>
    <t xml:space="preserve">Pertes de valeur (dépréciations)</t>
  </si>
  <si>
    <t xml:space="preserve">Plus ou moins-values de cession d'actifs</t>
  </si>
  <si>
    <t xml:space="preserve">Quote-part des subventions d'exploitation virées</t>
  </si>
  <si>
    <t xml:space="preserve">Autres retraitements non-cash</t>
  </si>
  <si>
    <t xml:space="preserve">   ± Variation du besoin en fonds de roulement (BFR)</t>
  </si>
  <si>
    <t xml:space="preserve">Variation des stocks (+ diminution / - augmentation)</t>
  </si>
  <si>
    <t xml:space="preserve">Variation des créances clients (DSO)</t>
  </si>
  <si>
    <t xml:space="preserve">Variation des dettes fournisseurs (DPO)</t>
  </si>
  <si>
    <t xml:space="preserve">Variation des autres créances d'exploitation</t>
  </si>
  <si>
    <t xml:space="preserve">Variation des autres dettes d'exploitation</t>
  </si>
  <si>
    <t xml:space="preserve">Variation des dettes fiscales et sociales</t>
  </si>
  <si>
    <t xml:space="preserve">FLUX NET D'EXPLOITATION (A)</t>
  </si>
  <si>
    <t xml:space="preserve">  II.  FLUX DE TRÉSORERIE D'INVESTISSEMENT</t>
  </si>
  <si>
    <t xml:space="preserve">   - Acquisitions d'actifs (sorties)</t>
  </si>
  <si>
    <t xml:space="preserve">Acquisitions d'immobilisations incorporelles</t>
  </si>
  <si>
    <t xml:space="preserve">Acquisitions d'immobilisations corporelles (Capex)</t>
  </si>
  <si>
    <t xml:space="preserve">Acquisitions d'immobilisations financières</t>
  </si>
  <si>
    <t xml:space="preserve">Acquisitions de titres de participation</t>
  </si>
  <si>
    <t xml:space="preserve">Prêts accordés</t>
  </si>
  <si>
    <t xml:space="preserve">   + Cessions d'actifs (entrées)</t>
  </si>
  <si>
    <t xml:space="preserve">Cessions d'immobilisations incorporelles</t>
  </si>
  <si>
    <t xml:space="preserve">Cessions d'immobilisations corporelles</t>
  </si>
  <si>
    <t xml:space="preserve">Cessions de titres de participation</t>
  </si>
  <si>
    <t xml:space="preserve">Remboursements de prêts accordés</t>
  </si>
  <si>
    <t xml:space="preserve">Subventions d'investissement reçues</t>
  </si>
  <si>
    <t xml:space="preserve">FLUX NET D'INVESTISSEMENT (B)</t>
  </si>
  <si>
    <t xml:space="preserve">  III.  FLUX DE TRÉSORERIE DE FINANCEMENT</t>
  </si>
  <si>
    <t xml:space="preserve">   + Apports et emprunts (entrées)</t>
  </si>
  <si>
    <t xml:space="preserve">Augmentations de capital en numéraire</t>
  </si>
  <si>
    <t xml:space="preserve">Nouveaux emprunts bancaires</t>
  </si>
  <si>
    <t xml:space="preserve">Émissions d'obligations</t>
  </si>
  <si>
    <t xml:space="preserve">Subventions financières reçues</t>
  </si>
  <si>
    <t xml:space="preserve">Avances en compte courant d'associés (entrées)</t>
  </si>
  <si>
    <t xml:space="preserve">   - Remboursements et distributions (sorties)</t>
  </si>
  <si>
    <t xml:space="preserve">Remboursements d'emprunts bancaires</t>
  </si>
  <si>
    <t xml:space="preserve">Dividendes versés aux actionnaires</t>
  </si>
  <si>
    <t xml:space="preserve">Rachats d'actions propres</t>
  </si>
  <si>
    <t xml:space="preserve">Remboursements compte courant d'associés</t>
  </si>
  <si>
    <t xml:space="preserve">Charges financières payées (intérêts)</t>
  </si>
  <si>
    <t xml:space="preserve">Remboursements dettes de location (IFRS 16)</t>
  </si>
  <si>
    <t xml:space="preserve">FLUX NET DE FINANCEMENT (C)</t>
  </si>
  <si>
    <t xml:space="preserve">VARIATION NETTE DE TRÉSORERIE  (A + B + C)</t>
  </si>
  <si>
    <t xml:space="preserve">   RÉCONCILIATION TRÉSORERIE</t>
  </si>
  <si>
    <t xml:space="preserve">Trésorerie et équivalents à l'ouverture (01/01/2026)</t>
  </si>
  <si>
    <t xml:space="preserve">Trésorerie à la clôture (cumul glissant)</t>
  </si>
  <si>
    <t xml:space="preserve">CONTRÔLE : Variation = Clôture - Ouverture</t>
  </si>
  <si>
    <t xml:space="preserve">  Légende : Texte bleu = saisie manuelle  |  Texte noir = formule automatique  |  Texte vert = lien inter-feuilles  |  Négatif = (montant entre parenthèses)  |  PCG Art. L. 232-2 C.Com.</t>
  </si>
  <si>
    <t xml:space="preserve">  HYPOTHÈSES &amp; SCÉNARIOS — Tableau de Flux de Trésorerie 2026</t>
  </si>
  <si>
    <t xml:space="preserve">  Modifiez les hypothèses ici — les flux se recalculent automatiquement</t>
  </si>
  <si>
    <t xml:space="preserve">  EXPLOITATION</t>
  </si>
  <si>
    <t xml:space="preserve">PARAMÈTRE</t>
  </si>
  <si>
    <t xml:space="preserve">PESSIMISTE</t>
  </si>
  <si>
    <t xml:space="preserve">BASE</t>
  </si>
  <si>
    <t xml:space="preserve">OPTIMISTE</t>
  </si>
  <si>
    <t xml:space="preserve">COMMENTAIRE</t>
  </si>
  <si>
    <t xml:space="preserve">Croissance chiffre d'affaires</t>
  </si>
  <si>
    <t xml:space="preserve">vs N-1</t>
  </si>
  <si>
    <t xml:space="preserve">Taux de marge brute</t>
  </si>
  <si>
    <t xml:space="preserve">CA - Achats / CA</t>
  </si>
  <si>
    <t xml:space="preserve">DSO — délai clients (jours)</t>
  </si>
  <si>
    <t xml:space="preserve">Jours de CA</t>
  </si>
  <si>
    <t xml:space="preserve">DPO — délai fournisseurs (jours)</t>
  </si>
  <si>
    <t xml:space="preserve">Jours d'achats</t>
  </si>
  <si>
    <t xml:space="preserve">DIO — délai de stockage (jours)</t>
  </si>
  <si>
    <t xml:space="preserve">Taux de charges fixes / CA</t>
  </si>
  <si>
    <t xml:space="preserve">Hors amort.</t>
  </si>
  <si>
    <t xml:space="preserve">  INVESTISSEMENT</t>
  </si>
  <si>
    <t xml:space="preserve">Capex annuel</t>
  </si>
  <si>
    <t xml:space="preserve">Immobilisations corp.</t>
  </si>
  <si>
    <t xml:space="preserve">Durée amortissement moyenne (ans)</t>
  </si>
  <si>
    <t xml:space="preserve">Cessions d'actifs prévues</t>
  </si>
  <si>
    <t xml:space="preserve">  FINANCEMENT</t>
  </si>
  <si>
    <t xml:space="preserve">Nouveaux emprunts</t>
  </si>
  <si>
    <t xml:space="preserve">Lignes bancaires</t>
  </si>
  <si>
    <t xml:space="preserve">Remboursements annuels d'emprunts</t>
  </si>
  <si>
    <t xml:space="preserve">Taux d'intérêt moyen</t>
  </si>
  <si>
    <t xml:space="preserve">Dividendes versés</t>
  </si>
  <si>
    <t xml:space="preserve">Si résultat suffisant</t>
  </si>
  <si>
    <t xml:space="preserve">  SCÉNARIO ACTIF — Sélectionnez dans la liste déroulante :</t>
  </si>
  <si>
    <t xml:space="preserve">Scénario sélectionné :</t>
  </si>
  <si>
    <t xml:space="preserve">↑ Choisir le scénario</t>
  </si>
  <si>
    <t xml:space="preserve">  Texte bleu = saisie / hypothèse modifiable  |  Plage de scénarios : colonne C (Pessimiste) · D (Base) · E (Optimiste)</t>
  </si>
  <si>
    <t xml:space="preserve">  TABLEAU DE BORD TRÉSORERIE — Synthèse &amp; KPIs 2026</t>
  </si>
  <si>
    <t xml:space="preserve">  Données liées automatiquement depuis la feuille 'Flux de Trésorerie'</t>
  </si>
  <si>
    <t xml:space="preserve">Flux exploitation YTD</t>
  </si>
  <si>
    <t xml:space="preserve">Flux investissement YTD</t>
  </si>
  <si>
    <t xml:space="preserve">Flux financement YTD</t>
  </si>
  <si>
    <t xml:space="preserve">Variation nette</t>
  </si>
  <si>
    <t xml:space="preserve">  SUIVI MENSUEL — Flux net par mois et trésorerie cumulée</t>
  </si>
  <si>
    <t xml:space="preserve">MOIS</t>
  </si>
  <si>
    <t xml:space="preserve">Flux exploit.</t>
  </si>
  <si>
    <t xml:space="preserve">Flux invest.</t>
  </si>
  <si>
    <t xml:space="preserve">Flux financ.</t>
  </si>
  <si>
    <t xml:space="preserve">Tréso clôture</t>
  </si>
  <si>
    <t xml:space="preserve">vs Mois préc.</t>
  </si>
  <si>
    <t xml:space="preserve">  Texte vert = données liées depuis 'Flux de Trésorerie'  |  Tréso rouge = solde négatif = ALERTE  |  Tréso vert = solde &gt; 50 000 €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</si>
</sst>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€&quot;;\(#,##0&quot; €)&quot;;\-"/>
    <numFmt numFmtId="166" formatCode="0.0%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C9A84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F1F3D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9"/>
      <color rgb="FF0000FF"/>
      <name val="Arial"/>
      <family val="0"/>
      <charset val="1"/>
    </font>
    <font>
      <b val="true"/>
      <sz val="10"/>
      <color rgb="FF0F1F3D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D7A45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9"/>
      <color rgb="FF854F0B"/>
      <name val="Arial"/>
      <family val="0"/>
      <charset val="1"/>
    </font>
    <font>
      <b val="true"/>
      <sz val="9"/>
      <color rgb="FFA32D2D"/>
      <name val="Arial"/>
      <family val="0"/>
      <charset val="1"/>
    </font>
    <font>
      <b val="true"/>
      <sz val="10"/>
      <color rgb="FFC9A84C"/>
      <name val="Arial"/>
      <family val="0"/>
      <charset val="1"/>
    </font>
    <font>
      <b val="true"/>
      <sz val="10"/>
      <color rgb="FFE8C97A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C9A84C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3"/>
      <color rgb="FF1D7A45"/>
      <name val="Arial"/>
      <family val="0"/>
      <charset val="1"/>
    </font>
    <font>
      <b val="true"/>
      <sz val="13"/>
      <color rgb="FF854F0B"/>
      <name val="Arial"/>
      <family val="0"/>
      <charset val="1"/>
    </font>
    <font>
      <b val="true"/>
      <sz val="13"/>
      <color rgb="FFA32D2D"/>
      <name val="Arial"/>
      <family val="0"/>
      <charset val="1"/>
    </font>
    <font>
      <b val="true"/>
      <sz val="13"/>
      <color rgb="FF0F1F3D"/>
      <name val="Arial"/>
      <family val="0"/>
      <charset val="1"/>
    </font>
    <font>
      <sz val="9"/>
      <color rgb="FF008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F1F3D"/>
        <bgColor rgb="FF1A3260"/>
      </patternFill>
    </fill>
    <fill>
      <patternFill patternType="solid">
        <fgColor rgb="FF1A3260"/>
        <bgColor rgb="FF0F1F3D"/>
      </patternFill>
    </fill>
    <fill>
      <patternFill patternType="solid">
        <fgColor rgb="FFFFFFFF"/>
        <bgColor rgb="FFF8F5EF"/>
      </patternFill>
    </fill>
    <fill>
      <patternFill patternType="solid">
        <fgColor rgb="FFF8F5EF"/>
        <bgColor rgb="FFF1EFE8"/>
      </patternFill>
    </fill>
    <fill>
      <patternFill patternType="solid">
        <fgColor rgb="FFF1EFE8"/>
        <bgColor rgb="FFF8F5EF"/>
      </patternFill>
    </fill>
    <fill>
      <patternFill patternType="solid">
        <fgColor rgb="FFEDE8DC"/>
        <bgColor rgb="FFF1EFE8"/>
      </patternFill>
    </fill>
    <fill>
      <patternFill patternType="solid">
        <fgColor rgb="FFE8F5EE"/>
        <bgColor rgb="FFF1EFE8"/>
      </patternFill>
    </fill>
    <fill>
      <patternFill patternType="solid">
        <fgColor rgb="FFFFF3CD"/>
        <bgColor rgb="FFFCEBEB"/>
      </patternFill>
    </fill>
    <fill>
      <patternFill patternType="solid">
        <fgColor rgb="FFFCEBEB"/>
        <bgColor rgb="FFF1EFE8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9A84C"/>
      </bottom>
      <diagonal/>
    </border>
    <border diagonalUp="false" diagonalDown="false">
      <left/>
      <right/>
      <top style="thin">
        <color rgb="FFD3D1C7"/>
      </top>
      <bottom/>
      <diagonal/>
    </border>
    <border diagonalUp="false" diagonalDown="false">
      <left/>
      <right/>
      <top style="double">
        <color rgb="FFC9A84C"/>
      </top>
      <bottom style="double">
        <color rgb="FFC9A84C"/>
      </bottom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/>
      <diagonal/>
    </border>
    <border diagonalUp="false" diagonalDown="false">
      <left style="thin">
        <color rgb="FFD3D1C7"/>
      </left>
      <right style="thin">
        <color rgb="FFD3D1C7"/>
      </right>
      <top/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5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5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4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6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7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8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8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8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2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3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2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A32D2D"/>
      </font>
      <fill>
        <patternFill>
          <bgColor rgb="FFFCEBEB"/>
        </patternFill>
      </fill>
    </dxf>
    <dxf>
      <font>
        <name val="Arial"/>
        <charset val="1"/>
        <family val="0"/>
        <b val="1"/>
        <color rgb="FF1D7A45"/>
      </font>
      <fill>
        <patternFill>
          <bgColor rgb="FFE8F5EE"/>
        </patternFill>
      </fill>
    </dxf>
    <dxf>
      <font>
        <name val="Arial"/>
        <charset val="1"/>
        <family val="0"/>
        <color rgb="FF1D7A45"/>
      </font>
      <fill>
        <patternFill>
          <bgColor rgb="FFE8F5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4F0B"/>
      <rgbColor rgb="FF800080"/>
      <rgbColor rgb="FF1D7A45"/>
      <rgbColor rgb="FFD3D1C7"/>
      <rgbColor rgb="FF808080"/>
      <rgbColor rgb="FF9999FF"/>
      <rgbColor rgb="FF993366"/>
      <rgbColor rgb="FFFFF3CD"/>
      <rgbColor rgb="FFE8F5EE"/>
      <rgbColor rgb="FF660066"/>
      <rgbColor rgb="FFFF8080"/>
      <rgbColor rgb="FF0066CC"/>
      <rgbColor rgb="FFFCEB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FE8"/>
      <rgbColor rgb="FFEDE8DC"/>
      <rgbColor rgb="FFF8F5EF"/>
      <rgbColor rgb="FF99CCFF"/>
      <rgbColor rgb="FFFF99CC"/>
      <rgbColor rgb="FFCC99FF"/>
      <rgbColor rgb="FFE8C97A"/>
      <rgbColor rgb="FF3366FF"/>
      <rgbColor rgb="FF33CCCC"/>
      <rgbColor rgb="FF99CC00"/>
      <rgbColor rgb="FFFFCC00"/>
      <rgbColor rgb="FFFF9900"/>
      <rgbColor rgb="FFFF6600"/>
      <rgbColor rgb="FF6B7280"/>
      <rgbColor rgb="FFC9A84C"/>
      <rgbColor rgb="FF1A3260"/>
      <rgbColor rgb="FF1D9E75"/>
      <rgbColor rgb="FF003300"/>
      <rgbColor rgb="FF333300"/>
      <rgbColor rgb="FFA32D2D"/>
      <rgbColor rgb="FF993366"/>
      <rgbColor rgb="FF333399"/>
      <rgbColor rgb="FF0F1F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F3D"/>
    <pageSetUpPr fitToPage="false"/>
  </sheetPr>
  <dimension ref="A1:P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14" min="3" style="1" width="12"/>
    <col collapsed="false" customWidth="true" hidden="false" outlineLevel="0" max="15" min="15" style="1" width="14"/>
    <col collapsed="false" customWidth="true" hidden="false" outlineLevel="0" max="16" min="16" style="1" width="12"/>
  </cols>
  <sheetData>
    <row r="1" customFormat="false" ht="7.5" hidden="false" customHeight="true" outlineLevel="0" collapsed="false"/>
    <row r="2" customFormat="false" ht="31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8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5" customFormat="false" ht="30" hidden="false" customHeight="true" outlineLevel="0" collapsed="false">
      <c r="A5" s="4"/>
      <c r="B5" s="5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</row>
    <row r="6" customFormat="false" ht="21.75" hidden="false" customHeight="true" outlineLevel="0" collapsed="false">
      <c r="A6" s="6" t="s">
        <v>17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customFormat="false" ht="18.75" hidden="false" customHeight="true" outlineLevel="0" collapsed="false">
      <c r="A7" s="7"/>
      <c r="B7" s="8" t="s">
        <v>18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0" t="n">
        <f aca="false">SUM(C7:N7)</f>
        <v>0</v>
      </c>
      <c r="P7" s="11"/>
    </row>
    <row r="8" customFormat="false" ht="18" hidden="false" customHeight="true" outlineLevel="0" collapsed="false">
      <c r="A8" s="12" t="s">
        <v>19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 customFormat="false" ht="16.5" hidden="false" customHeight="true" outlineLevel="0" collapsed="false">
      <c r="A9" s="7"/>
      <c r="B9" s="13" t="s">
        <v>20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5" t="n">
        <f aca="false">SUM(C9:N9)</f>
        <v>0</v>
      </c>
      <c r="P9" s="11"/>
    </row>
    <row r="10" customFormat="false" ht="16.5" hidden="false" customHeight="true" outlineLevel="0" collapsed="false">
      <c r="A10" s="16"/>
      <c r="B10" s="17" t="s">
        <v>21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9" t="n">
        <f aca="false">SUM(C10:N10)</f>
        <v>0</v>
      </c>
      <c r="P10" s="11"/>
    </row>
    <row r="11" customFormat="false" ht="16.5" hidden="false" customHeight="true" outlineLevel="0" collapsed="false">
      <c r="A11" s="7"/>
      <c r="B11" s="13" t="s">
        <v>22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5" t="n">
        <f aca="false">SUM(C11:N11)</f>
        <v>0</v>
      </c>
      <c r="P11" s="11"/>
    </row>
    <row r="12" customFormat="false" ht="16.5" hidden="false" customHeight="true" outlineLevel="0" collapsed="false">
      <c r="A12" s="16"/>
      <c r="B12" s="17" t="s">
        <v>23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9" t="n">
        <f aca="false">SUM(C12:N12)</f>
        <v>0</v>
      </c>
      <c r="P12" s="11"/>
    </row>
    <row r="13" customFormat="false" ht="16.5" hidden="false" customHeight="true" outlineLevel="0" collapsed="false">
      <c r="A13" s="7"/>
      <c r="B13" s="13" t="s">
        <v>24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5" t="n">
        <f aca="false">SUM(C13:N13)</f>
        <v>0</v>
      </c>
      <c r="P13" s="11"/>
    </row>
    <row r="14" customFormat="false" ht="16.5" hidden="false" customHeight="true" outlineLevel="0" collapsed="false">
      <c r="A14" s="16"/>
      <c r="B14" s="17" t="s">
        <v>25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 t="n">
        <f aca="false">SUM(C14:N14)</f>
        <v>0</v>
      </c>
      <c r="P14" s="11"/>
    </row>
    <row r="15" customFormat="false" ht="18" hidden="false" customHeight="true" outlineLevel="0" collapsed="false">
      <c r="A15" s="12" t="s">
        <v>26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customFormat="false" ht="16.5" hidden="false" customHeight="true" outlineLevel="0" collapsed="false">
      <c r="A16" s="16"/>
      <c r="B16" s="13" t="s">
        <v>27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5" t="n">
        <f aca="false">SUM(C16:N16)</f>
        <v>0</v>
      </c>
      <c r="P16" s="11"/>
    </row>
    <row r="17" customFormat="false" ht="16.5" hidden="false" customHeight="true" outlineLevel="0" collapsed="false">
      <c r="A17" s="7"/>
      <c r="B17" s="17" t="s">
        <v>28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 t="n">
        <f aca="false">SUM(C17:N17)</f>
        <v>0</v>
      </c>
      <c r="P17" s="11"/>
    </row>
    <row r="18" customFormat="false" ht="16.5" hidden="false" customHeight="true" outlineLevel="0" collapsed="false">
      <c r="A18" s="16"/>
      <c r="B18" s="13" t="s">
        <v>29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5" t="n">
        <f aca="false">SUM(C18:N18)</f>
        <v>0</v>
      </c>
      <c r="P18" s="11"/>
    </row>
    <row r="19" customFormat="false" ht="16.5" hidden="false" customHeight="true" outlineLevel="0" collapsed="false">
      <c r="A19" s="7"/>
      <c r="B19" s="17" t="s">
        <v>30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 t="n">
        <f aca="false">SUM(C19:N19)</f>
        <v>0</v>
      </c>
      <c r="P19" s="11"/>
    </row>
    <row r="20" customFormat="false" ht="16.5" hidden="false" customHeight="true" outlineLevel="0" collapsed="false">
      <c r="A20" s="16"/>
      <c r="B20" s="13" t="s">
        <v>31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5" t="n">
        <f aca="false">SUM(C20:N20)</f>
        <v>0</v>
      </c>
      <c r="P20" s="11"/>
    </row>
    <row r="21" customFormat="false" ht="16.5" hidden="false" customHeight="true" outlineLevel="0" collapsed="false">
      <c r="A21" s="7"/>
      <c r="B21" s="17" t="s">
        <v>32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 t="n">
        <f aca="false">SUM(C21:N21)</f>
        <v>0</v>
      </c>
      <c r="P21" s="11"/>
    </row>
    <row r="22" customFormat="false" ht="21.75" hidden="false" customHeight="true" outlineLevel="0" collapsed="false">
      <c r="A22" s="20"/>
      <c r="B22" s="21" t="s">
        <v>33</v>
      </c>
      <c r="C22" s="22" t="n">
        <f aca="false">C7+C9+C10+C11+C12+C13+C14+C16+C17+C18+C19+C20+C21</f>
        <v>0</v>
      </c>
      <c r="D22" s="22" t="n">
        <f aca="false">D7+D9+D10+D11+D12+D13+D14+D16+D17+D18+D19+D20+D21</f>
        <v>0</v>
      </c>
      <c r="E22" s="22" t="n">
        <f aca="false">E7+E9+E10+E11+E12+E13+E14+E16+E17+E18+E19+E20+E21</f>
        <v>0</v>
      </c>
      <c r="F22" s="22" t="n">
        <f aca="false">F7+F9+F10+F11+F12+F13+F14+F16+F17+F18+F19+F20+F21</f>
        <v>0</v>
      </c>
      <c r="G22" s="22" t="n">
        <f aca="false">G7+G9+G10+G11+G12+G13+G14+G16+G17+G18+G19+G20+G21</f>
        <v>0</v>
      </c>
      <c r="H22" s="22" t="n">
        <f aca="false">H7+H9+H10+H11+H12+H13+H14+H16+H17+H18+H19+H20+H21</f>
        <v>0</v>
      </c>
      <c r="I22" s="22" t="n">
        <f aca="false">I7+I9+I10+I11+I12+I13+I14+I16+I17+I18+I19+I20+I21</f>
        <v>0</v>
      </c>
      <c r="J22" s="22" t="n">
        <f aca="false">J7+J9+J10+J11+J12+J13+J14+J16+J17+J18+J19+J20+J21</f>
        <v>0</v>
      </c>
      <c r="K22" s="22" t="n">
        <f aca="false">K7+K9+K10+K11+K12+K13+K14+K16+K17+K18+K19+K20+K21</f>
        <v>0</v>
      </c>
      <c r="L22" s="22" t="n">
        <f aca="false">L7+L9+L10+L11+L12+L13+L14+L16+L17+L18+L19+L20+L21</f>
        <v>0</v>
      </c>
      <c r="M22" s="22" t="n">
        <f aca="false">M7+M9+M10+M11+M12+M13+M14+M16+M17+M18+M19+M20+M21</f>
        <v>0</v>
      </c>
      <c r="N22" s="22" t="n">
        <f aca="false">N7+N9+N10+N11+N12+N13+N14+N16+N17+N18+N19+N20+N21</f>
        <v>0</v>
      </c>
      <c r="O22" s="22" t="n">
        <f aca="false">O7+O9+O10+O11+O12+O13+O14+O16+O17+O18+O19+O20+O21</f>
        <v>0</v>
      </c>
      <c r="P22" s="23"/>
    </row>
    <row r="23" customFormat="false" ht="7.5" hidden="false" customHeight="true" outlineLevel="0" collapsed="false"/>
    <row r="24" customFormat="false" ht="21.75" hidden="false" customHeight="true" outlineLevel="0" collapsed="false">
      <c r="A24" s="6" t="s">
        <v>34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customFormat="false" ht="18" hidden="false" customHeight="true" outlineLevel="0" collapsed="false">
      <c r="A25" s="12" t="s">
        <v>35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customFormat="false" ht="16.5" hidden="false" customHeight="true" outlineLevel="0" collapsed="false">
      <c r="A26" s="16"/>
      <c r="B26" s="13" t="s">
        <v>36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5" t="n">
        <f aca="false">SUM(C26:N26)</f>
        <v>0</v>
      </c>
      <c r="P26" s="11"/>
    </row>
    <row r="27" customFormat="false" ht="16.5" hidden="false" customHeight="true" outlineLevel="0" collapsed="false">
      <c r="A27" s="7"/>
      <c r="B27" s="17" t="s">
        <v>37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 t="n">
        <f aca="false">SUM(C27:N27)</f>
        <v>0</v>
      </c>
      <c r="P27" s="11"/>
    </row>
    <row r="28" customFormat="false" ht="16.5" hidden="false" customHeight="true" outlineLevel="0" collapsed="false">
      <c r="A28" s="16"/>
      <c r="B28" s="13" t="s">
        <v>38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 t="n">
        <f aca="false">SUM(C28:N28)</f>
        <v>0</v>
      </c>
      <c r="P28" s="11"/>
    </row>
    <row r="29" customFormat="false" ht="16.5" hidden="false" customHeight="true" outlineLevel="0" collapsed="false">
      <c r="A29" s="7"/>
      <c r="B29" s="17" t="s">
        <v>39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9" t="n">
        <f aca="false">SUM(C29:N29)</f>
        <v>0</v>
      </c>
      <c r="P29" s="11"/>
    </row>
    <row r="30" customFormat="false" ht="16.5" hidden="false" customHeight="true" outlineLevel="0" collapsed="false">
      <c r="A30" s="16"/>
      <c r="B30" s="13" t="s">
        <v>40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 t="n">
        <f aca="false">SUM(C30:N30)</f>
        <v>0</v>
      </c>
      <c r="P30" s="11"/>
    </row>
    <row r="31" customFormat="false" ht="18" hidden="false" customHeight="true" outlineLevel="0" collapsed="false">
      <c r="A31" s="12" t="s">
        <v>41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customFormat="false" ht="16.5" hidden="false" customHeight="true" outlineLevel="0" collapsed="false">
      <c r="A32" s="16"/>
      <c r="B32" s="13" t="s">
        <v>42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 t="n">
        <f aca="false">SUM(C32:N32)</f>
        <v>0</v>
      </c>
      <c r="P32" s="11"/>
    </row>
    <row r="33" customFormat="false" ht="16.5" hidden="false" customHeight="true" outlineLevel="0" collapsed="false">
      <c r="A33" s="7"/>
      <c r="B33" s="17" t="s">
        <v>43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9" t="n">
        <f aca="false">SUM(C33:N33)</f>
        <v>0</v>
      </c>
      <c r="P33" s="11"/>
    </row>
    <row r="34" customFormat="false" ht="16.5" hidden="false" customHeight="true" outlineLevel="0" collapsed="false">
      <c r="A34" s="16"/>
      <c r="B34" s="13" t="s">
        <v>44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5" t="n">
        <f aca="false">SUM(C34:N34)</f>
        <v>0</v>
      </c>
      <c r="P34" s="11"/>
    </row>
    <row r="35" customFormat="false" ht="16.5" hidden="false" customHeight="true" outlineLevel="0" collapsed="false">
      <c r="A35" s="7"/>
      <c r="B35" s="17" t="s">
        <v>45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9" t="n">
        <f aca="false">SUM(C35:N35)</f>
        <v>0</v>
      </c>
      <c r="P35" s="11"/>
    </row>
    <row r="36" customFormat="false" ht="16.5" hidden="false" customHeight="true" outlineLevel="0" collapsed="false">
      <c r="A36" s="16"/>
      <c r="B36" s="13" t="s">
        <v>46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5" t="n">
        <f aca="false">SUM(C36:N36)</f>
        <v>0</v>
      </c>
      <c r="P36" s="11"/>
    </row>
    <row r="37" customFormat="false" ht="21.75" hidden="false" customHeight="true" outlineLevel="0" collapsed="false">
      <c r="A37" s="20"/>
      <c r="B37" s="24" t="s">
        <v>47</v>
      </c>
      <c r="C37" s="25" t="n">
        <f aca="false">C26+C27+C28+C29+C30+C32+C33+C34+C35+C36</f>
        <v>0</v>
      </c>
      <c r="D37" s="25" t="n">
        <f aca="false">D26+D27+D28+D29+D30+D32+D33+D34+D35+D36</f>
        <v>0</v>
      </c>
      <c r="E37" s="25" t="n">
        <f aca="false">E26+E27+E28+E29+E30+E32+E33+E34+E35+E36</f>
        <v>0</v>
      </c>
      <c r="F37" s="25" t="n">
        <f aca="false">F26+F27+F28+F29+F30+F32+F33+F34+F35+F36</f>
        <v>0</v>
      </c>
      <c r="G37" s="25" t="n">
        <f aca="false">G26+G27+G28+G29+G30+G32+G33+G34+G35+G36</f>
        <v>0</v>
      </c>
      <c r="H37" s="25" t="n">
        <f aca="false">H26+H27+H28+H29+H30+H32+H33+H34+H35+H36</f>
        <v>0</v>
      </c>
      <c r="I37" s="25" t="n">
        <f aca="false">I26+I27+I28+I29+I30+I32+I33+I34+I35+I36</f>
        <v>0</v>
      </c>
      <c r="J37" s="25" t="n">
        <f aca="false">J26+J27+J28+J29+J30+J32+J33+J34+J35+J36</f>
        <v>0</v>
      </c>
      <c r="K37" s="25" t="n">
        <f aca="false">K26+K27+K28+K29+K30+K32+K33+K34+K35+K36</f>
        <v>0</v>
      </c>
      <c r="L37" s="25" t="n">
        <f aca="false">L26+L27+L28+L29+L30+L32+L33+L34+L35+L36</f>
        <v>0</v>
      </c>
      <c r="M37" s="25" t="n">
        <f aca="false">M26+M27+M28+M29+M30+M32+M33+M34+M35+M36</f>
        <v>0</v>
      </c>
      <c r="N37" s="25" t="n">
        <f aca="false">N26+N27+N28+N29+N30+N32+N33+N34+N35+N36</f>
        <v>0</v>
      </c>
      <c r="O37" s="25" t="n">
        <f aca="false">O26+O27+O28+O29+O30+O32+O33+O34+O35+O36</f>
        <v>0</v>
      </c>
      <c r="P37" s="23"/>
    </row>
    <row r="38" customFormat="false" ht="7.5" hidden="false" customHeight="true" outlineLevel="0" collapsed="false"/>
    <row r="39" customFormat="false" ht="21.75" hidden="false" customHeight="true" outlineLevel="0" collapsed="false">
      <c r="A39" s="6" t="s">
        <v>48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customFormat="false" ht="18" hidden="false" customHeight="true" outlineLevel="0" collapsed="false">
      <c r="A40" s="12" t="s">
        <v>49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customFormat="false" ht="16.5" hidden="false" customHeight="true" outlineLevel="0" collapsed="false">
      <c r="A41" s="7"/>
      <c r="B41" s="13" t="s">
        <v>50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5" t="n">
        <f aca="false">SUM(C41:N41)</f>
        <v>0</v>
      </c>
      <c r="P41" s="11"/>
    </row>
    <row r="42" customFormat="false" ht="16.5" hidden="false" customHeight="true" outlineLevel="0" collapsed="false">
      <c r="A42" s="16"/>
      <c r="B42" s="17" t="s">
        <v>51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9" t="n">
        <f aca="false">SUM(C42:N42)</f>
        <v>0</v>
      </c>
      <c r="P42" s="11"/>
    </row>
    <row r="43" customFormat="false" ht="16.5" hidden="false" customHeight="true" outlineLevel="0" collapsed="false">
      <c r="A43" s="7"/>
      <c r="B43" s="13" t="s">
        <v>52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5" t="n">
        <f aca="false">SUM(C43:N43)</f>
        <v>0</v>
      </c>
      <c r="P43" s="11"/>
    </row>
    <row r="44" customFormat="false" ht="16.5" hidden="false" customHeight="true" outlineLevel="0" collapsed="false">
      <c r="A44" s="16"/>
      <c r="B44" s="17" t="s">
        <v>53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9" t="n">
        <f aca="false">SUM(C44:N44)</f>
        <v>0</v>
      </c>
      <c r="P44" s="11"/>
    </row>
    <row r="45" customFormat="false" ht="16.5" hidden="false" customHeight="true" outlineLevel="0" collapsed="false">
      <c r="A45" s="7"/>
      <c r="B45" s="13" t="s">
        <v>54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5" t="n">
        <f aca="false">SUM(C45:N45)</f>
        <v>0</v>
      </c>
      <c r="P45" s="11"/>
    </row>
    <row r="46" customFormat="false" ht="18" hidden="false" customHeight="true" outlineLevel="0" collapsed="false">
      <c r="A46" s="12" t="s">
        <v>55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customFormat="false" ht="16.5" hidden="false" customHeight="true" outlineLevel="0" collapsed="false">
      <c r="A47" s="7"/>
      <c r="B47" s="13" t="s">
        <v>56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5" t="n">
        <f aca="false">SUM(C47:N47)</f>
        <v>0</v>
      </c>
      <c r="P47" s="11"/>
    </row>
    <row r="48" customFormat="false" ht="16.5" hidden="false" customHeight="true" outlineLevel="0" collapsed="false">
      <c r="A48" s="16"/>
      <c r="B48" s="17" t="s">
        <v>57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9" t="n">
        <f aca="false">SUM(C48:N48)</f>
        <v>0</v>
      </c>
      <c r="P48" s="11"/>
    </row>
    <row r="49" customFormat="false" ht="16.5" hidden="false" customHeight="true" outlineLevel="0" collapsed="false">
      <c r="A49" s="7"/>
      <c r="B49" s="13" t="s">
        <v>58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5" t="n">
        <f aca="false">SUM(C49:N49)</f>
        <v>0</v>
      </c>
      <c r="P49" s="11"/>
    </row>
    <row r="50" customFormat="false" ht="16.5" hidden="false" customHeight="true" outlineLevel="0" collapsed="false">
      <c r="A50" s="16"/>
      <c r="B50" s="17" t="s">
        <v>59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9" t="n">
        <f aca="false">SUM(C50:N50)</f>
        <v>0</v>
      </c>
      <c r="P50" s="11"/>
    </row>
    <row r="51" customFormat="false" ht="16.5" hidden="false" customHeight="true" outlineLevel="0" collapsed="false">
      <c r="A51" s="7"/>
      <c r="B51" s="13" t="s">
        <v>60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5" t="n">
        <f aca="false">SUM(C51:N51)</f>
        <v>0</v>
      </c>
      <c r="P51" s="11"/>
    </row>
    <row r="52" customFormat="false" ht="16.5" hidden="false" customHeight="true" outlineLevel="0" collapsed="false">
      <c r="A52" s="16"/>
      <c r="B52" s="17" t="s">
        <v>61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9" t="n">
        <f aca="false">SUM(C52:N52)</f>
        <v>0</v>
      </c>
      <c r="P52" s="11"/>
    </row>
    <row r="53" customFormat="false" ht="21.75" hidden="false" customHeight="true" outlineLevel="0" collapsed="false">
      <c r="A53" s="20"/>
      <c r="B53" s="26" t="s">
        <v>62</v>
      </c>
      <c r="C53" s="27" t="n">
        <f aca="false">C41+C42+C43+C44+C45+C47+C48+C49+C50+C51+C52</f>
        <v>0</v>
      </c>
      <c r="D53" s="27" t="n">
        <f aca="false">D41+D42+D43+D44+D45+D47+D48+D49+D50+D51+D52</f>
        <v>0</v>
      </c>
      <c r="E53" s="27" t="n">
        <f aca="false">E41+E42+E43+E44+E45+E47+E48+E49+E50+E51+E52</f>
        <v>0</v>
      </c>
      <c r="F53" s="27" t="n">
        <f aca="false">F41+F42+F43+F44+F45+F47+F48+F49+F50+F51+F52</f>
        <v>0</v>
      </c>
      <c r="G53" s="27" t="n">
        <f aca="false">G41+G42+G43+G44+G45+G47+G48+G49+G50+G51+G52</f>
        <v>0</v>
      </c>
      <c r="H53" s="27" t="n">
        <f aca="false">H41+H42+H43+H44+H45+H47+H48+H49+H50+H51+H52</f>
        <v>0</v>
      </c>
      <c r="I53" s="27" t="n">
        <f aca="false">I41+I42+I43+I44+I45+I47+I48+I49+I50+I51+I52</f>
        <v>0</v>
      </c>
      <c r="J53" s="27" t="n">
        <f aca="false">J41+J42+J43+J44+J45+J47+J48+J49+J50+J51+J52</f>
        <v>0</v>
      </c>
      <c r="K53" s="27" t="n">
        <f aca="false">K41+K42+K43+K44+K45+K47+K48+K49+K50+K51+K52</f>
        <v>0</v>
      </c>
      <c r="L53" s="27" t="n">
        <f aca="false">L41+L42+L43+L44+L45+L47+L48+L49+L50+L51+L52</f>
        <v>0</v>
      </c>
      <c r="M53" s="27" t="n">
        <f aca="false">M41+M42+M43+M44+M45+M47+M48+M49+M50+M51+M52</f>
        <v>0</v>
      </c>
      <c r="N53" s="27" t="n">
        <f aca="false">N41+N42+N43+N44+N45+N47+N48+N49+N50+N51+N52</f>
        <v>0</v>
      </c>
      <c r="O53" s="27" t="n">
        <f aca="false">O41+O42+O43+O44+O45+O47+O48+O49+O50+O51+O52</f>
        <v>0</v>
      </c>
      <c r="P53" s="23"/>
    </row>
    <row r="54" customFormat="false" ht="7.5" hidden="false" customHeight="true" outlineLevel="0" collapsed="false"/>
    <row r="55" customFormat="false" ht="25.5" hidden="false" customHeight="true" outlineLevel="0" collapsed="false">
      <c r="A55" s="28"/>
      <c r="B55" s="29" t="s">
        <v>63</v>
      </c>
      <c r="C55" s="30" t="n">
        <f aca="false">C22+C37+C53</f>
        <v>0</v>
      </c>
      <c r="D55" s="30" t="n">
        <f aca="false">D22+D37+D53</f>
        <v>0</v>
      </c>
      <c r="E55" s="30" t="n">
        <f aca="false">E22+E37+E53</f>
        <v>0</v>
      </c>
      <c r="F55" s="30" t="n">
        <f aca="false">F22+F37+F53</f>
        <v>0</v>
      </c>
      <c r="G55" s="30" t="n">
        <f aca="false">G22+G37+G53</f>
        <v>0</v>
      </c>
      <c r="H55" s="30" t="n">
        <f aca="false">H22+H37+H53</f>
        <v>0</v>
      </c>
      <c r="I55" s="30" t="n">
        <f aca="false">I22+I37+I53</f>
        <v>0</v>
      </c>
      <c r="J55" s="30" t="n">
        <f aca="false">J22+J37+J53</f>
        <v>0</v>
      </c>
      <c r="K55" s="30" t="n">
        <f aca="false">K22+K37+K53</f>
        <v>0</v>
      </c>
      <c r="L55" s="30" t="n">
        <f aca="false">L22+L37+L53</f>
        <v>0</v>
      </c>
      <c r="M55" s="30" t="n">
        <f aca="false">M22+M37+M53</f>
        <v>0</v>
      </c>
      <c r="N55" s="30" t="n">
        <f aca="false">N22+N37+N53</f>
        <v>0</v>
      </c>
      <c r="O55" s="30" t="n">
        <f aca="false">O22+O37+O53</f>
        <v>0</v>
      </c>
      <c r="P55" s="31"/>
    </row>
    <row r="56" customFormat="false" ht="7.5" hidden="false" customHeight="true" outlineLevel="0" collapsed="false"/>
    <row r="57" customFormat="false" ht="19.5" hidden="false" customHeight="true" outlineLevel="0" collapsed="false">
      <c r="A57" s="32" t="s">
        <v>64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</row>
    <row r="58" customFormat="false" ht="16.5" hidden="false" customHeight="true" outlineLevel="0" collapsed="false">
      <c r="A58" s="16"/>
      <c r="B58" s="33" t="s">
        <v>65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10" t="n">
        <f aca="false">SUM(C58:N58)</f>
        <v>0</v>
      </c>
      <c r="P58" s="11"/>
    </row>
    <row r="59" customFormat="false" ht="18.75" hidden="false" customHeight="true" outlineLevel="0" collapsed="false">
      <c r="A59" s="20"/>
      <c r="B59" s="34" t="s">
        <v>66</v>
      </c>
      <c r="C59" s="35" t="n">
        <f aca="false">C58+C55</f>
        <v>0</v>
      </c>
      <c r="D59" s="35" t="n">
        <f aca="false">C59+D55</f>
        <v>0</v>
      </c>
      <c r="E59" s="35" t="n">
        <f aca="false">D59+E55</f>
        <v>0</v>
      </c>
      <c r="F59" s="35" t="n">
        <f aca="false">E59+F55</f>
        <v>0</v>
      </c>
      <c r="G59" s="35" t="n">
        <f aca="false">F59+G55</f>
        <v>0</v>
      </c>
      <c r="H59" s="35" t="n">
        <f aca="false">G59+H55</f>
        <v>0</v>
      </c>
      <c r="I59" s="35" t="n">
        <f aca="false">H59+I55</f>
        <v>0</v>
      </c>
      <c r="J59" s="35" t="n">
        <f aca="false">I59+J55</f>
        <v>0</v>
      </c>
      <c r="K59" s="35" t="n">
        <f aca="false">J59+K55</f>
        <v>0</v>
      </c>
      <c r="L59" s="35" t="n">
        <f aca="false">K59+L55</f>
        <v>0</v>
      </c>
      <c r="M59" s="35" t="n">
        <f aca="false">L59+M55</f>
        <v>0</v>
      </c>
      <c r="N59" s="35" t="n">
        <f aca="false">M59+N55</f>
        <v>0</v>
      </c>
      <c r="O59" s="35" t="n">
        <f aca="false">N59+O55</f>
        <v>0</v>
      </c>
      <c r="P59" s="36"/>
    </row>
    <row r="60" customFormat="false" ht="7.5" hidden="false" customHeight="true" outlineLevel="0" collapsed="false"/>
    <row r="61" customFormat="false" ht="18.75" hidden="false" customHeight="true" outlineLevel="0" collapsed="false">
      <c r="A61" s="37" t="s">
        <v>67</v>
      </c>
      <c r="B61" s="37"/>
      <c r="C61" s="38" t="n">
        <f aca="false">C59-C58-SUM(C55:C55)+C55</f>
        <v>0</v>
      </c>
      <c r="D61" s="38" t="n">
        <f aca="false">D59-C58-SUM(C55:D55)+D55</f>
        <v>0</v>
      </c>
      <c r="E61" s="38" t="n">
        <f aca="false">E59-C58-SUM(C55:E55)+E55</f>
        <v>0</v>
      </c>
      <c r="F61" s="38" t="n">
        <f aca="false">F59-C58-SUM(C55:F55)+F55</f>
        <v>0</v>
      </c>
      <c r="G61" s="38" t="n">
        <f aca="false">G59-C58-SUM(C55:G55)+G55</f>
        <v>0</v>
      </c>
      <c r="H61" s="38" t="n">
        <f aca="false">H59-C58-SUM(C55:H55)+H55</f>
        <v>0</v>
      </c>
      <c r="I61" s="38" t="n">
        <f aca="false">I59-C58-SUM(C55:I55)+I55</f>
        <v>0</v>
      </c>
      <c r="J61" s="38" t="n">
        <f aca="false">J59-C58-SUM(C55:J55)+J55</f>
        <v>0</v>
      </c>
      <c r="K61" s="38" t="n">
        <f aca="false">K59-C58-SUM(C55:K55)+K55</f>
        <v>0</v>
      </c>
      <c r="L61" s="38" t="n">
        <f aca="false">L59-C58-SUM(C55:L55)+L55</f>
        <v>0</v>
      </c>
      <c r="M61" s="38" t="n">
        <f aca="false">M59-C58-SUM(C55:M55)+M55</f>
        <v>0</v>
      </c>
      <c r="N61" s="38" t="n">
        <f aca="false">N59-C58-SUM(C55:N55)+N55</f>
        <v>0</v>
      </c>
      <c r="O61" s="38" t="n">
        <f aca="false">O59-C58-SUM(C55:O55)+O55</f>
        <v>0</v>
      </c>
    </row>
    <row r="62" customFormat="false" ht="9.75" hidden="false" customHeight="true" outlineLevel="0" collapsed="false"/>
    <row r="63" customFormat="false" ht="15.75" hidden="false" customHeight="true" outlineLevel="0" collapsed="false">
      <c r="A63" s="39" t="s">
        <v>68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</sheetData>
  <mergeCells count="14">
    <mergeCell ref="A2:P2"/>
    <mergeCell ref="A3:P3"/>
    <mergeCell ref="A6:P6"/>
    <mergeCell ref="A8:P8"/>
    <mergeCell ref="A15:P15"/>
    <mergeCell ref="A24:P24"/>
    <mergeCell ref="A25:P25"/>
    <mergeCell ref="A31:P31"/>
    <mergeCell ref="A39:P39"/>
    <mergeCell ref="A40:P40"/>
    <mergeCell ref="A46:P46"/>
    <mergeCell ref="A57:P57"/>
    <mergeCell ref="A61:B61"/>
    <mergeCell ref="A63:P63"/>
  </mergeCells>
  <conditionalFormatting sqref="C59:N59">
    <cfRule type="colorScale" priority="2">
      <colorScale>
        <cfvo type="num" val="0"/>
        <cfvo type="num" val="50000"/>
        <cfvo type="num" val="200000"/>
        <color rgb="FFFCEBEB"/>
        <color rgb="FFFFF3CD"/>
        <color rgb="FFE8F5EE"/>
      </colorScale>
    </cfRule>
  </conditionalFormatting>
  <conditionalFormatting sqref="C55:N55">
    <cfRule type="cellIs" priority="3" operator="lessThan" aboveAverage="0" equalAverage="0" bottom="0" percent="0" rank="0" text="" dxfId="0">
      <formula>0</formula>
    </cfRule>
    <cfRule type="cellIs" priority="4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5" min="3" style="1" width="18"/>
    <col collapsed="false" customWidth="true" hidden="false" outlineLevel="0" max="6" min="6" style="1" width="22"/>
  </cols>
  <sheetData>
    <row r="1" customFormat="false" ht="7.5" hidden="false" customHeight="true" outlineLevel="0" collapsed="false"/>
    <row r="2" customFormat="false" ht="30" hidden="false" customHeight="true" outlineLevel="0" collapsed="false">
      <c r="A2" s="40" t="s">
        <v>69</v>
      </c>
      <c r="B2" s="40"/>
      <c r="C2" s="40"/>
      <c r="D2" s="40"/>
      <c r="E2" s="40"/>
      <c r="F2" s="40"/>
    </row>
    <row r="3" customFormat="false" ht="18" hidden="false" customHeight="true" outlineLevel="0" collapsed="false">
      <c r="A3" s="41" t="s">
        <v>70</v>
      </c>
      <c r="B3" s="41"/>
      <c r="C3" s="41"/>
      <c r="D3" s="41"/>
      <c r="E3" s="41"/>
      <c r="F3" s="41"/>
    </row>
    <row r="4" customFormat="false" ht="9.75" hidden="false" customHeight="true" outlineLevel="0" collapsed="false"/>
    <row r="5" customFormat="false" ht="19.5" hidden="false" customHeight="true" outlineLevel="0" collapsed="false">
      <c r="A5" s="42" t="s">
        <v>71</v>
      </c>
      <c r="B5" s="42"/>
      <c r="C5" s="42"/>
      <c r="D5" s="42"/>
      <c r="E5" s="42"/>
      <c r="F5" s="42"/>
    </row>
    <row r="6" customFormat="false" ht="24" hidden="false" customHeight="true" outlineLevel="0" collapsed="false">
      <c r="A6" s="43"/>
      <c r="B6" s="4" t="s">
        <v>72</v>
      </c>
      <c r="C6" s="4" t="s">
        <v>73</v>
      </c>
      <c r="D6" s="4" t="s">
        <v>74</v>
      </c>
      <c r="E6" s="4" t="s">
        <v>75</v>
      </c>
      <c r="F6" s="4" t="s">
        <v>76</v>
      </c>
    </row>
    <row r="7" customFormat="false" ht="18" hidden="false" customHeight="true" outlineLevel="0" collapsed="false">
      <c r="A7" s="16"/>
      <c r="B7" s="44" t="s">
        <v>77</v>
      </c>
      <c r="C7" s="45" t="n">
        <v>0.05</v>
      </c>
      <c r="D7" s="45" t="n">
        <v>0.15</v>
      </c>
      <c r="E7" s="45" t="n">
        <v>0.3</v>
      </c>
      <c r="F7" s="46" t="s">
        <v>78</v>
      </c>
    </row>
    <row r="8" customFormat="false" ht="18" hidden="false" customHeight="true" outlineLevel="0" collapsed="false">
      <c r="A8" s="16"/>
      <c r="B8" s="47" t="s">
        <v>79</v>
      </c>
      <c r="C8" s="48" t="n">
        <v>0.35</v>
      </c>
      <c r="D8" s="48" t="n">
        <v>0.45</v>
      </c>
      <c r="E8" s="48" t="n">
        <v>0.55</v>
      </c>
      <c r="F8" s="46" t="s">
        <v>80</v>
      </c>
    </row>
    <row r="9" customFormat="false" ht="18" hidden="false" customHeight="true" outlineLevel="0" collapsed="false">
      <c r="A9" s="16"/>
      <c r="B9" s="44" t="s">
        <v>81</v>
      </c>
      <c r="C9" s="49" t="n">
        <v>75</v>
      </c>
      <c r="D9" s="49" t="n">
        <v>60</v>
      </c>
      <c r="E9" s="49" t="n">
        <v>45</v>
      </c>
      <c r="F9" s="46" t="s">
        <v>82</v>
      </c>
    </row>
    <row r="10" customFormat="false" ht="18" hidden="false" customHeight="true" outlineLevel="0" collapsed="false">
      <c r="A10" s="16"/>
      <c r="B10" s="47" t="s">
        <v>83</v>
      </c>
      <c r="C10" s="50" t="n">
        <v>30</v>
      </c>
      <c r="D10" s="50" t="n">
        <v>45</v>
      </c>
      <c r="E10" s="50" t="n">
        <v>60</v>
      </c>
      <c r="F10" s="46" t="s">
        <v>84</v>
      </c>
    </row>
    <row r="11" customFormat="false" ht="18" hidden="false" customHeight="true" outlineLevel="0" collapsed="false">
      <c r="A11" s="16"/>
      <c r="B11" s="44" t="s">
        <v>85</v>
      </c>
      <c r="C11" s="49" t="n">
        <v>45</v>
      </c>
      <c r="D11" s="49" t="n">
        <v>30</v>
      </c>
      <c r="E11" s="49" t="n">
        <v>15</v>
      </c>
      <c r="F11" s="46" t="s">
        <v>82</v>
      </c>
    </row>
    <row r="12" customFormat="false" ht="18" hidden="false" customHeight="true" outlineLevel="0" collapsed="false">
      <c r="A12" s="16"/>
      <c r="B12" s="47" t="s">
        <v>86</v>
      </c>
      <c r="C12" s="48" t="n">
        <v>0.28</v>
      </c>
      <c r="D12" s="48" t="n">
        <v>0.25</v>
      </c>
      <c r="E12" s="48" t="n">
        <v>0.22</v>
      </c>
      <c r="F12" s="46" t="s">
        <v>87</v>
      </c>
    </row>
    <row r="13" customFormat="false" ht="7.5" hidden="false" customHeight="true" outlineLevel="0" collapsed="false"/>
    <row r="14" customFormat="false" ht="19.5" hidden="false" customHeight="true" outlineLevel="0" collapsed="false">
      <c r="A14" s="42" t="s">
        <v>88</v>
      </c>
      <c r="B14" s="42"/>
      <c r="C14" s="42"/>
      <c r="D14" s="42"/>
      <c r="E14" s="42"/>
      <c r="F14" s="42"/>
    </row>
    <row r="15" customFormat="false" ht="24" hidden="false" customHeight="true" outlineLevel="0" collapsed="false">
      <c r="A15" s="43"/>
      <c r="B15" s="4" t="s">
        <v>72</v>
      </c>
      <c r="C15" s="4" t="s">
        <v>73</v>
      </c>
      <c r="D15" s="4" t="s">
        <v>74</v>
      </c>
      <c r="E15" s="4" t="s">
        <v>75</v>
      </c>
      <c r="F15" s="4" t="s">
        <v>76</v>
      </c>
    </row>
    <row r="16" customFormat="false" ht="18" hidden="false" customHeight="true" outlineLevel="0" collapsed="false">
      <c r="A16" s="16"/>
      <c r="B16" s="44" t="s">
        <v>89</v>
      </c>
      <c r="C16" s="49" t="n">
        <v>30000</v>
      </c>
      <c r="D16" s="49" t="n">
        <v>50000</v>
      </c>
      <c r="E16" s="49" t="n">
        <v>80000</v>
      </c>
      <c r="F16" s="46" t="s">
        <v>90</v>
      </c>
    </row>
    <row r="17" customFormat="false" ht="18" hidden="false" customHeight="true" outlineLevel="0" collapsed="false">
      <c r="A17" s="16"/>
      <c r="B17" s="47" t="s">
        <v>91</v>
      </c>
      <c r="C17" s="50" t="n">
        <v>5</v>
      </c>
      <c r="D17" s="50" t="n">
        <v>5</v>
      </c>
      <c r="E17" s="50" t="n">
        <v>7</v>
      </c>
      <c r="F17" s="46"/>
    </row>
    <row r="18" customFormat="false" ht="18" hidden="false" customHeight="true" outlineLevel="0" collapsed="false">
      <c r="A18" s="16"/>
      <c r="B18" s="44" t="s">
        <v>92</v>
      </c>
      <c r="C18" s="49" t="n">
        <v>0</v>
      </c>
      <c r="D18" s="49" t="n">
        <v>0</v>
      </c>
      <c r="E18" s="49" t="n">
        <v>15000</v>
      </c>
      <c r="F18" s="46"/>
    </row>
    <row r="19" customFormat="false" ht="7.5" hidden="false" customHeight="true" outlineLevel="0" collapsed="false"/>
    <row r="20" customFormat="false" ht="19.5" hidden="false" customHeight="true" outlineLevel="0" collapsed="false">
      <c r="A20" s="42" t="s">
        <v>93</v>
      </c>
      <c r="B20" s="42"/>
      <c r="C20" s="42"/>
      <c r="D20" s="42"/>
      <c r="E20" s="42"/>
      <c r="F20" s="42"/>
    </row>
    <row r="21" customFormat="false" ht="24" hidden="false" customHeight="true" outlineLevel="0" collapsed="false">
      <c r="A21" s="43"/>
      <c r="B21" s="4" t="s">
        <v>72</v>
      </c>
      <c r="C21" s="4" t="s">
        <v>73</v>
      </c>
      <c r="D21" s="4" t="s">
        <v>74</v>
      </c>
      <c r="E21" s="4" t="s">
        <v>75</v>
      </c>
      <c r="F21" s="4" t="s">
        <v>76</v>
      </c>
    </row>
    <row r="22" customFormat="false" ht="18" hidden="false" customHeight="true" outlineLevel="0" collapsed="false">
      <c r="A22" s="16"/>
      <c r="B22" s="44" t="s">
        <v>94</v>
      </c>
      <c r="C22" s="49" t="n">
        <v>0</v>
      </c>
      <c r="D22" s="49" t="n">
        <v>50000</v>
      </c>
      <c r="E22" s="49" t="n">
        <v>100000</v>
      </c>
      <c r="F22" s="46" t="s">
        <v>95</v>
      </c>
    </row>
    <row r="23" customFormat="false" ht="18" hidden="false" customHeight="true" outlineLevel="0" collapsed="false">
      <c r="A23" s="16"/>
      <c r="B23" s="47" t="s">
        <v>96</v>
      </c>
      <c r="C23" s="50" t="n">
        <v>24000</v>
      </c>
      <c r="D23" s="50" t="n">
        <v>36000</v>
      </c>
      <c r="E23" s="50" t="n">
        <v>48000</v>
      </c>
      <c r="F23" s="46"/>
    </row>
    <row r="24" customFormat="false" ht="18" hidden="false" customHeight="true" outlineLevel="0" collapsed="false">
      <c r="A24" s="16"/>
      <c r="B24" s="44" t="s">
        <v>97</v>
      </c>
      <c r="C24" s="45" t="n">
        <v>0.045</v>
      </c>
      <c r="D24" s="45" t="n">
        <v>0.04</v>
      </c>
      <c r="E24" s="45" t="n">
        <v>0.035</v>
      </c>
      <c r="F24" s="46"/>
    </row>
    <row r="25" customFormat="false" ht="18" hidden="false" customHeight="true" outlineLevel="0" collapsed="false">
      <c r="A25" s="16"/>
      <c r="B25" s="47" t="s">
        <v>98</v>
      </c>
      <c r="C25" s="50" t="n">
        <v>0</v>
      </c>
      <c r="D25" s="50" t="n">
        <v>0</v>
      </c>
      <c r="E25" s="50" t="n">
        <v>20000</v>
      </c>
      <c r="F25" s="46" t="s">
        <v>99</v>
      </c>
    </row>
    <row r="26" customFormat="false" ht="7.5" hidden="false" customHeight="true" outlineLevel="0" collapsed="false"/>
    <row r="27" customFormat="false" ht="21.75" hidden="false" customHeight="true" outlineLevel="0" collapsed="false">
      <c r="A27" s="51" t="s">
        <v>100</v>
      </c>
      <c r="B27" s="51"/>
      <c r="C27" s="51"/>
      <c r="D27" s="51"/>
      <c r="E27" s="51"/>
      <c r="F27" s="51"/>
    </row>
    <row r="28" customFormat="false" ht="30" hidden="false" customHeight="true" outlineLevel="0" collapsed="false">
      <c r="B28" s="52" t="s">
        <v>101</v>
      </c>
      <c r="C28" s="53" t="s">
        <v>74</v>
      </c>
      <c r="D28" s="54" t="s">
        <v>102</v>
      </c>
    </row>
    <row r="29" customFormat="false" ht="7.5" hidden="false" customHeight="true" outlineLevel="0" collapsed="false"/>
    <row r="30" customFormat="false" ht="15.75" hidden="false" customHeight="true" outlineLevel="0" collapsed="false">
      <c r="A30" s="39" t="s">
        <v>103</v>
      </c>
      <c r="B30" s="39"/>
      <c r="C30" s="39"/>
      <c r="D30" s="39"/>
      <c r="E30" s="39"/>
      <c r="F30" s="39"/>
    </row>
  </sheetData>
  <mergeCells count="7">
    <mergeCell ref="A2:F2"/>
    <mergeCell ref="A3:F3"/>
    <mergeCell ref="A5:F5"/>
    <mergeCell ref="A14:F14"/>
    <mergeCell ref="A20:F20"/>
    <mergeCell ref="A27:F27"/>
    <mergeCell ref="A30:F30"/>
  </mergeCells>
  <dataValidations count="1">
    <dataValidation allowBlank="false" errorStyle="stop" operator="between" showDropDown="false" showErrorMessage="false" showInputMessage="false" sqref="C28" type="list">
      <formula1>"PESSIMISTE,BASE,OPTIMISTE"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9E75"/>
    <pageSetUpPr fitToPage="false"/>
  </sheetPr>
  <dimension ref="A1:P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9" min="2" style="1" width="18"/>
  </cols>
  <sheetData>
    <row r="1" customFormat="false" ht="7.5" hidden="false" customHeight="true" outlineLevel="0" collapsed="false"/>
    <row r="2" customFormat="false" ht="30" hidden="false" customHeight="true" outlineLevel="0" collapsed="false">
      <c r="A2" s="40" t="s">
        <v>104</v>
      </c>
      <c r="B2" s="40"/>
      <c r="C2" s="40"/>
      <c r="D2" s="40"/>
      <c r="E2" s="40"/>
      <c r="F2" s="40"/>
      <c r="G2" s="40"/>
      <c r="H2" s="40"/>
      <c r="I2" s="40"/>
    </row>
    <row r="3" customFormat="false" ht="18" hidden="false" customHeight="true" outlineLevel="0" collapsed="false">
      <c r="A3" s="41" t="s">
        <v>105</v>
      </c>
      <c r="B3" s="41"/>
      <c r="C3" s="41"/>
      <c r="D3" s="41"/>
      <c r="E3" s="41"/>
      <c r="F3" s="41"/>
      <c r="G3" s="41"/>
      <c r="H3" s="41"/>
      <c r="I3" s="41"/>
    </row>
    <row r="4" customFormat="false" ht="9.75" hidden="false" customHeight="true" outlineLevel="0" collapsed="false"/>
    <row r="5" customFormat="false" ht="13.5" hidden="false" customHeight="true" outlineLevel="0" collapsed="false"/>
    <row r="6" customFormat="false" ht="18" hidden="false" customHeight="true" outlineLevel="0" collapsed="false">
      <c r="B6" s="55" t="s">
        <v>106</v>
      </c>
      <c r="C6" s="56" t="s">
        <v>107</v>
      </c>
      <c r="D6" s="57" t="s">
        <v>108</v>
      </c>
      <c r="E6" s="58" t="s">
        <v>109</v>
      </c>
    </row>
    <row r="7" customFormat="false" ht="31.5" hidden="false" customHeight="true" outlineLevel="0" collapsed="false">
      <c r="B7" s="59" t="n">
        <f aca="false">'Flux de Trésorerie'!O22</f>
        <v>0</v>
      </c>
      <c r="C7" s="60" t="n">
        <f aca="false">'Flux de Trésorerie'!O37</f>
        <v>0</v>
      </c>
      <c r="D7" s="61" t="n">
        <f aca="false">'Flux de Trésorerie'!O53</f>
        <v>0</v>
      </c>
      <c r="E7" s="62" t="n">
        <f aca="false">'Flux de Trésorerie'!O55</f>
        <v>0</v>
      </c>
    </row>
    <row r="8" customFormat="false" ht="13.5" hidden="false" customHeight="true" outlineLevel="0" collapsed="false"/>
    <row r="9" customFormat="false" ht="13.5" hidden="false" customHeight="true" outlineLevel="0" collapsed="false"/>
    <row r="10" customFormat="false" ht="21.75" hidden="false" customHeight="true" outlineLevel="0" collapsed="false">
      <c r="A10" s="6" t="s">
        <v>110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customFormat="false" ht="21.75" hidden="false" customHeight="true" outlineLevel="0" collapsed="false">
      <c r="A11" s="5"/>
      <c r="B11" s="5" t="s">
        <v>111</v>
      </c>
      <c r="C11" s="4" t="s">
        <v>112</v>
      </c>
      <c r="D11" s="4" t="s">
        <v>113</v>
      </c>
      <c r="E11" s="4" t="s">
        <v>114</v>
      </c>
      <c r="F11" s="4" t="s">
        <v>109</v>
      </c>
      <c r="G11" s="4" t="s">
        <v>115</v>
      </c>
      <c r="H11" s="4" t="s">
        <v>116</v>
      </c>
    </row>
    <row r="12" customFormat="false" ht="18" hidden="false" customHeight="true" outlineLevel="0" collapsed="false">
      <c r="A12" s="16"/>
      <c r="B12" s="63" t="s">
        <v>3</v>
      </c>
      <c r="C12" s="64" t="n">
        <f aca="false">'Flux de Trésorerie'!C22</f>
        <v>0</v>
      </c>
      <c r="D12" s="64" t="n">
        <f aca="false">'Flux de Trésorerie'!C37</f>
        <v>0</v>
      </c>
      <c r="E12" s="64" t="n">
        <f aca="false">'Flux de Trésorerie'!C53</f>
        <v>0</v>
      </c>
      <c r="F12" s="64" t="n">
        <f aca="false">'Flux de Trésorerie'!C55</f>
        <v>0</v>
      </c>
      <c r="G12" s="64" t="n">
        <f aca="false">'Flux de Trésorerie'!C59</f>
        <v>0</v>
      </c>
      <c r="H12" s="65"/>
    </row>
    <row r="13" customFormat="false" ht="18" hidden="false" customHeight="true" outlineLevel="0" collapsed="false">
      <c r="A13" s="7"/>
      <c r="B13" s="66" t="s">
        <v>4</v>
      </c>
      <c r="C13" s="67" t="n">
        <f aca="false">'Flux de Trésorerie'!D22</f>
        <v>0</v>
      </c>
      <c r="D13" s="67" t="n">
        <f aca="false">'Flux de Trésorerie'!D37</f>
        <v>0</v>
      </c>
      <c r="E13" s="67" t="n">
        <f aca="false">'Flux de Trésorerie'!D53</f>
        <v>0</v>
      </c>
      <c r="F13" s="67" t="n">
        <f aca="false">'Flux de Trésorerie'!D55</f>
        <v>0</v>
      </c>
      <c r="G13" s="67" t="n">
        <f aca="false">'Flux de Trésorerie'!D59</f>
        <v>0</v>
      </c>
      <c r="H13" s="68" t="n">
        <f aca="false">G13-G12</f>
        <v>0</v>
      </c>
    </row>
    <row r="14" customFormat="false" ht="18" hidden="false" customHeight="true" outlineLevel="0" collapsed="false">
      <c r="A14" s="16"/>
      <c r="B14" s="63" t="s">
        <v>5</v>
      </c>
      <c r="C14" s="64" t="n">
        <f aca="false">'Flux de Trésorerie'!E22</f>
        <v>0</v>
      </c>
      <c r="D14" s="64" t="n">
        <f aca="false">'Flux de Trésorerie'!E37</f>
        <v>0</v>
      </c>
      <c r="E14" s="64" t="n">
        <f aca="false">'Flux de Trésorerie'!E53</f>
        <v>0</v>
      </c>
      <c r="F14" s="64" t="n">
        <f aca="false">'Flux de Trésorerie'!E55</f>
        <v>0</v>
      </c>
      <c r="G14" s="64" t="n">
        <f aca="false">'Flux de Trésorerie'!E59</f>
        <v>0</v>
      </c>
      <c r="H14" s="65" t="n">
        <f aca="false">G14-G13</f>
        <v>0</v>
      </c>
    </row>
    <row r="15" customFormat="false" ht="18" hidden="false" customHeight="true" outlineLevel="0" collapsed="false">
      <c r="A15" s="7"/>
      <c r="B15" s="66" t="s">
        <v>6</v>
      </c>
      <c r="C15" s="67" t="n">
        <f aca="false">'Flux de Trésorerie'!F22</f>
        <v>0</v>
      </c>
      <c r="D15" s="67" t="n">
        <f aca="false">'Flux de Trésorerie'!F37</f>
        <v>0</v>
      </c>
      <c r="E15" s="67" t="n">
        <f aca="false">'Flux de Trésorerie'!F53</f>
        <v>0</v>
      </c>
      <c r="F15" s="67" t="n">
        <f aca="false">'Flux de Trésorerie'!F55</f>
        <v>0</v>
      </c>
      <c r="G15" s="67" t="n">
        <f aca="false">'Flux de Trésorerie'!F59</f>
        <v>0</v>
      </c>
      <c r="H15" s="68" t="n">
        <f aca="false">G15-G14</f>
        <v>0</v>
      </c>
    </row>
    <row r="16" customFormat="false" ht="18" hidden="false" customHeight="true" outlineLevel="0" collapsed="false">
      <c r="A16" s="16"/>
      <c r="B16" s="63" t="s">
        <v>7</v>
      </c>
      <c r="C16" s="64" t="n">
        <f aca="false">'Flux de Trésorerie'!G22</f>
        <v>0</v>
      </c>
      <c r="D16" s="64" t="n">
        <f aca="false">'Flux de Trésorerie'!G37</f>
        <v>0</v>
      </c>
      <c r="E16" s="64" t="n">
        <f aca="false">'Flux de Trésorerie'!G53</f>
        <v>0</v>
      </c>
      <c r="F16" s="64" t="n">
        <f aca="false">'Flux de Trésorerie'!G55</f>
        <v>0</v>
      </c>
      <c r="G16" s="64" t="n">
        <f aca="false">'Flux de Trésorerie'!G59</f>
        <v>0</v>
      </c>
      <c r="H16" s="65" t="n">
        <f aca="false">G16-G15</f>
        <v>0</v>
      </c>
    </row>
    <row r="17" customFormat="false" ht="18" hidden="false" customHeight="true" outlineLevel="0" collapsed="false">
      <c r="A17" s="7"/>
      <c r="B17" s="66" t="s">
        <v>8</v>
      </c>
      <c r="C17" s="67" t="n">
        <f aca="false">'Flux de Trésorerie'!H22</f>
        <v>0</v>
      </c>
      <c r="D17" s="67" t="n">
        <f aca="false">'Flux de Trésorerie'!H37</f>
        <v>0</v>
      </c>
      <c r="E17" s="67" t="n">
        <f aca="false">'Flux de Trésorerie'!H53</f>
        <v>0</v>
      </c>
      <c r="F17" s="67" t="n">
        <f aca="false">'Flux de Trésorerie'!H55</f>
        <v>0</v>
      </c>
      <c r="G17" s="67" t="n">
        <f aca="false">'Flux de Trésorerie'!H59</f>
        <v>0</v>
      </c>
      <c r="H17" s="68" t="n">
        <f aca="false">G17-G16</f>
        <v>0</v>
      </c>
    </row>
    <row r="18" customFormat="false" ht="18" hidden="false" customHeight="true" outlineLevel="0" collapsed="false">
      <c r="A18" s="16"/>
      <c r="B18" s="63" t="s">
        <v>9</v>
      </c>
      <c r="C18" s="64" t="n">
        <f aca="false">'Flux de Trésorerie'!I22</f>
        <v>0</v>
      </c>
      <c r="D18" s="64" t="n">
        <f aca="false">'Flux de Trésorerie'!I37</f>
        <v>0</v>
      </c>
      <c r="E18" s="64" t="n">
        <f aca="false">'Flux de Trésorerie'!I53</f>
        <v>0</v>
      </c>
      <c r="F18" s="64" t="n">
        <f aca="false">'Flux de Trésorerie'!I55</f>
        <v>0</v>
      </c>
      <c r="G18" s="64" t="n">
        <f aca="false">'Flux de Trésorerie'!I59</f>
        <v>0</v>
      </c>
      <c r="H18" s="65" t="n">
        <f aca="false">G18-G17</f>
        <v>0</v>
      </c>
    </row>
    <row r="19" customFormat="false" ht="18" hidden="false" customHeight="true" outlineLevel="0" collapsed="false">
      <c r="A19" s="7"/>
      <c r="B19" s="66" t="s">
        <v>10</v>
      </c>
      <c r="C19" s="67" t="n">
        <f aca="false">'Flux de Trésorerie'!J22</f>
        <v>0</v>
      </c>
      <c r="D19" s="67" t="n">
        <f aca="false">'Flux de Trésorerie'!J37</f>
        <v>0</v>
      </c>
      <c r="E19" s="67" t="n">
        <f aca="false">'Flux de Trésorerie'!J53</f>
        <v>0</v>
      </c>
      <c r="F19" s="67" t="n">
        <f aca="false">'Flux de Trésorerie'!J55</f>
        <v>0</v>
      </c>
      <c r="G19" s="67" t="n">
        <f aca="false">'Flux de Trésorerie'!J59</f>
        <v>0</v>
      </c>
      <c r="H19" s="68" t="n">
        <f aca="false">G19-G18</f>
        <v>0</v>
      </c>
    </row>
    <row r="20" customFormat="false" ht="18" hidden="false" customHeight="true" outlineLevel="0" collapsed="false">
      <c r="A20" s="16"/>
      <c r="B20" s="63" t="s">
        <v>11</v>
      </c>
      <c r="C20" s="64" t="n">
        <f aca="false">'Flux de Trésorerie'!K22</f>
        <v>0</v>
      </c>
      <c r="D20" s="64" t="n">
        <f aca="false">'Flux de Trésorerie'!K37</f>
        <v>0</v>
      </c>
      <c r="E20" s="64" t="n">
        <f aca="false">'Flux de Trésorerie'!K53</f>
        <v>0</v>
      </c>
      <c r="F20" s="64" t="n">
        <f aca="false">'Flux de Trésorerie'!K55</f>
        <v>0</v>
      </c>
      <c r="G20" s="64" t="n">
        <f aca="false">'Flux de Trésorerie'!K59</f>
        <v>0</v>
      </c>
      <c r="H20" s="65" t="n">
        <f aca="false">G20-G19</f>
        <v>0</v>
      </c>
    </row>
    <row r="21" customFormat="false" ht="18" hidden="false" customHeight="true" outlineLevel="0" collapsed="false">
      <c r="A21" s="7"/>
      <c r="B21" s="66" t="s">
        <v>12</v>
      </c>
      <c r="C21" s="67" t="n">
        <f aca="false">'Flux de Trésorerie'!L22</f>
        <v>0</v>
      </c>
      <c r="D21" s="67" t="n">
        <f aca="false">'Flux de Trésorerie'!L37</f>
        <v>0</v>
      </c>
      <c r="E21" s="67" t="n">
        <f aca="false">'Flux de Trésorerie'!L53</f>
        <v>0</v>
      </c>
      <c r="F21" s="67" t="n">
        <f aca="false">'Flux de Trésorerie'!L55</f>
        <v>0</v>
      </c>
      <c r="G21" s="67" t="n">
        <f aca="false">'Flux de Trésorerie'!L59</f>
        <v>0</v>
      </c>
      <c r="H21" s="68" t="n">
        <f aca="false">G21-G20</f>
        <v>0</v>
      </c>
    </row>
    <row r="22" customFormat="false" ht="18" hidden="false" customHeight="true" outlineLevel="0" collapsed="false">
      <c r="A22" s="16"/>
      <c r="B22" s="63" t="s">
        <v>13</v>
      </c>
      <c r="C22" s="64" t="n">
        <f aca="false">'Flux de Trésorerie'!M22</f>
        <v>0</v>
      </c>
      <c r="D22" s="64" t="n">
        <f aca="false">'Flux de Trésorerie'!M37</f>
        <v>0</v>
      </c>
      <c r="E22" s="64" t="n">
        <f aca="false">'Flux de Trésorerie'!M53</f>
        <v>0</v>
      </c>
      <c r="F22" s="64" t="n">
        <f aca="false">'Flux de Trésorerie'!M55</f>
        <v>0</v>
      </c>
      <c r="G22" s="64" t="n">
        <f aca="false">'Flux de Trésorerie'!M59</f>
        <v>0</v>
      </c>
      <c r="H22" s="65" t="n">
        <f aca="false">G22-G21</f>
        <v>0</v>
      </c>
    </row>
    <row r="23" customFormat="false" ht="18" hidden="false" customHeight="true" outlineLevel="0" collapsed="false">
      <c r="A23" s="7"/>
      <c r="B23" s="66" t="s">
        <v>14</v>
      </c>
      <c r="C23" s="67" t="n">
        <f aca="false">'Flux de Trésorerie'!N22</f>
        <v>0</v>
      </c>
      <c r="D23" s="67" t="n">
        <f aca="false">'Flux de Trésorerie'!N37</f>
        <v>0</v>
      </c>
      <c r="E23" s="67" t="n">
        <f aca="false">'Flux de Trésorerie'!N53</f>
        <v>0</v>
      </c>
      <c r="F23" s="67" t="n">
        <f aca="false">'Flux de Trésorerie'!N55</f>
        <v>0</v>
      </c>
      <c r="G23" s="67" t="n">
        <f aca="false">'Flux de Trésorerie'!N59</f>
        <v>0</v>
      </c>
      <c r="H23" s="68" t="n">
        <f aca="false">G23-G22</f>
        <v>0</v>
      </c>
    </row>
    <row r="24" customFormat="false" ht="7.5" hidden="false" customHeight="true" outlineLevel="0" collapsed="false"/>
    <row r="25" customFormat="false" ht="15.75" hidden="false" customHeight="true" outlineLevel="0" collapsed="false">
      <c r="A25" s="39" t="s">
        <v>117</v>
      </c>
      <c r="B25" s="39"/>
      <c r="C25" s="39"/>
      <c r="D25" s="39"/>
      <c r="E25" s="39"/>
      <c r="F25" s="39"/>
      <c r="G25" s="39"/>
      <c r="H25" s="39"/>
      <c r="I25" s="39"/>
    </row>
  </sheetData>
  <mergeCells count="4">
    <mergeCell ref="A2:I2"/>
    <mergeCell ref="A3:I3"/>
    <mergeCell ref="A10:P10"/>
    <mergeCell ref="A25:I25"/>
  </mergeCells>
  <conditionalFormatting sqref="G12:G23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2">
      <formula>50000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2026-05-16T18:18:33Z</dcterms:created>
  <dc:creator>openpyxl</dc:creator>
  <dc:description/>
  <dc:language>en-US</dc:language>
  <cp:lastModifiedBy/>
  <dcterms:modified xsi:type="dcterms:W3CDTF">2026-05-16T18:19:29Z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