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" sheetId="1" state="visible" r:id="rId3"/>
    <sheet name="Factures Clients" sheetId="2" state="visible" r:id="rId4"/>
    <sheet name="Dashboard DSO" sheetId="3" state="visible" r:id="rId5"/>
    <sheet name="Suivi Relanc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<sst xmlns="http://schemas.openxmlformats.org/spreadsheetml/2006/main" count="76" uniqueCount="70">
  <si>
    <t xml:space="preserve">TRACKER DSO CLIENTS 2026 — CONFIGURATION</t>
  </si>
  <si>
    <t xml:space="preserve">FinSight · Pilotage financier PME · finsight.zineinsight.com</t>
  </si>
  <si>
    <t xml:space="preserve">🏢  PARAMÈTRES ENTREPRISE</t>
  </si>
  <si>
    <t xml:space="preserve">Nom de l'entreprise</t>
  </si>
  <si>
    <t xml:space="preserve">Ma PME SAS</t>
  </si>
  <si>
    <t xml:space="preserve">Votre raison sociale</t>
  </si>
  <si>
    <t xml:space="preserve">Secteur d'activité</t>
  </si>
  <si>
    <t xml:space="preserve">Services</t>
  </si>
  <si>
    <t xml:space="preserve">Services / Commerce / Industrie</t>
  </si>
  <si>
    <t xml:space="preserve">Exercice de suivi</t>
  </si>
  <si>
    <t xml:space="preserve">2026</t>
  </si>
  <si>
    <t xml:space="preserve">⚙️  SEUILS D'ALERTE DSO</t>
  </si>
  <si>
    <t xml:space="preserve">Seuil VERT — DSO acceptable (jours)</t>
  </si>
  <si>
    <t xml:space="preserve">En dessous : ✅ OK</t>
  </si>
  <si>
    <t xml:space="preserve">Seuil ORANGE — DSO à surveiller (jours)</t>
  </si>
  <si>
    <t xml:space="preserve">Entre vert et rouge : ⚠️ Surveiller</t>
  </si>
  <si>
    <t xml:space="preserve">Seuil ROUGE — DSO critique (jours)</t>
  </si>
  <si>
    <t xml:space="preserve">Au-dessus : 🚨 Action urgente</t>
  </si>
  <si>
    <t xml:space="preserve">📋  CONDITIONS DE PAIEMENT PAR DÉFAUT</t>
  </si>
  <si>
    <t xml:space="preserve">Délai contractuel standard (jours)</t>
  </si>
  <si>
    <t xml:space="preserve">Ex: 30 jours net</t>
  </si>
  <si>
    <t xml:space="preserve">Tolérance retard acceptable (jours)</t>
  </si>
  <si>
    <t xml:space="preserve">Marge avant relance</t>
  </si>
  <si>
    <t xml:space="preserve">⚡  Cellules jaunes = INPUTS à modifier.
📊  Saisissez vos factures dans 'Factures Clients'.
🎯  Le Dashboard et le Suivi Relances se calculent automatiquement.</t>
  </si>
  <si>
    <t xml:space="preserve">SUIVI DES FACTURES CLIENTS — TRACKER DSO</t>
  </si>
  <si>
    <t xml:space="preserve">#</t>
  </si>
  <si>
    <t xml:space="preserve">Client</t>
  </si>
  <si>
    <t xml:space="preserve">Secteur client</t>
  </si>
  <si>
    <t xml:space="preserve">N° Facture</t>
  </si>
  <si>
    <t xml:space="preserve">Date Facture</t>
  </si>
  <si>
    <t xml:space="preserve">Échéance</t>
  </si>
  <si>
    <t xml:space="preserve">Montant HT</t>
  </si>
  <si>
    <t xml:space="preserve">Date Paiement</t>
  </si>
  <si>
    <t xml:space="preserve">Montant Réglé</t>
  </si>
  <si>
    <t xml:space="preserve">DSO Réel (j)</t>
  </si>
  <si>
    <t xml:space="preserve">Statut</t>
  </si>
  <si>
    <t xml:space="preserve">→  Colonnes A à G : saisir manuellement. Colonnes H-I : compléter au paiement. J-K : calculés automatiquement.</t>
  </si>
  <si>
    <t xml:space="preserve">TOTAUX</t>
  </si>
  <si>
    <t xml:space="preserve">DSO moyen pondéré</t>
  </si>
  <si>
    <t xml:space="preserve">DASHBOARD DSO — ANALYSE CRÉANCES CLIENTS</t>
  </si>
  <si>
    <t xml:space="preserve">  KPIs DSO EN TEMPS RÉEL</t>
  </si>
  <si>
    <t xml:space="preserve">DSO MOYEN (jours)</t>
  </si>
  <si>
    <t xml:space="preserve">CRÉANCES TOTALES</t>
  </si>
  <si>
    <t xml:space="preserve">MONTANT RÉGLÉ</t>
  </si>
  <si>
    <t xml:space="preserve">Pondéré par montant</t>
  </si>
  <si>
    <t xml:space="preserve">Montant facturé HT</t>
  </si>
  <si>
    <t xml:space="preserve">Encaissements cumulés</t>
  </si>
  <si>
    <t xml:space="preserve">FACTURES EN RETARD</t>
  </si>
  <si>
    <t xml:space="preserve">MONTANT EN RETARD</t>
  </si>
  <si>
    <t xml:space="preserve">SEUIL DSO CIBLE</t>
  </si>
  <si>
    <t xml:space="preserve">Nombre de factures</t>
  </si>
  <si>
    <t xml:space="preserve">€ non encaissés</t>
  </si>
  <si>
    <t xml:space="preserve">Jours objectif</t>
  </si>
  <si>
    <t xml:space="preserve">  RÉPARTITION PAR STATUT</t>
  </si>
  <si>
    <t xml:space="preserve">Nb factures</t>
  </si>
  <si>
    <t xml:space="preserve">% du total</t>
  </si>
  <si>
    <t xml:space="preserve">✅ Payé</t>
  </si>
  <si>
    <t xml:space="preserve">⚠️ Payé partiel</t>
  </si>
  <si>
    <t xml:space="preserve">⏳ Non échu</t>
  </si>
  <si>
    <t xml:space="preserve">⏰ En attente</t>
  </si>
  <si>
    <t xml:space="preserve">⚠️ Retard</t>
  </si>
  <si>
    <t xml:space="preserve">🚨 Critique</t>
  </si>
  <si>
    <t xml:space="preserve">📌  GUIDE D'UTILISATION
1. Configurez vos seuils d'alerte dans l'onglet 'Config'.
2. Saisissez vos factures dans 'Factures Clients' (colonnes jaunes).
3. Mettez à jour la date et le montant réglés à chaque paiement.
4. Ce Dashboard se recalcule automatiquement.
💡  Export FinSight — finsight.zineinsight.com</t>
  </si>
  <si>
    <t xml:space="preserve">SUIVI DES RELANCES — ACTIONS RECOUVREMENT</t>
  </si>
  <si>
    <t xml:space="preserve">Jours retard</t>
  </si>
  <si>
    <t xml:space="preserve">1ère relance</t>
  </si>
  <si>
    <t xml:space="preserve">Type relance</t>
  </si>
  <si>
    <t xml:space="preserve">Réponse client</t>
  </si>
  <si>
    <t xml:space="preserve">Prochain contact</t>
  </si>
  <si>
    <t xml:space="preserve">→  Renseigner uniquement les factures nécessitant une relance. Colonnes jaunes = saisie manuelle.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</si>
</sst>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#,##0;\(#,##0\);\-"/>
    <numFmt numFmtId="167" formatCode="dd/mm/yyyy"/>
    <numFmt numFmtId="168" formatCode="#,##0&quot; €&quot;;\(#,##0&quot; €)&quot;;\-"/>
    <numFmt numFmtId="169" formatCode="0.0%;\(0.0%\);\-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9CA3A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2D2D2D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"/>
      <color rgb="FF9CA3A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C9A84C"/>
      <name val="Arial"/>
      <family val="0"/>
      <charset val="1"/>
    </font>
    <font>
      <b val="true"/>
      <sz val="9"/>
      <color rgb="FFC9A84C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8"/>
      <color rgb="FF9CA3AF"/>
      <name val="Arial"/>
      <family val="0"/>
      <charset val="1"/>
    </font>
    <font>
      <i val="true"/>
      <sz val="8"/>
      <color rgb="FFFFFFFF"/>
      <name val="Arial"/>
      <family val="0"/>
      <charset val="1"/>
    </font>
    <font>
      <b val="true"/>
      <sz val="18"/>
      <color rgb="FF1B2B4B"/>
      <name val="Arial"/>
      <family val="0"/>
      <charset val="1"/>
    </font>
    <font>
      <b val="true"/>
      <sz val="10"/>
      <color rgb="FF155724"/>
      <name val="Arial"/>
      <family val="0"/>
      <charset val="1"/>
    </font>
    <font>
      <b val="true"/>
      <sz val="10"/>
      <color rgb="FF856404"/>
      <name val="Arial"/>
      <family val="0"/>
      <charset val="1"/>
    </font>
    <font>
      <b val="true"/>
      <sz val="10"/>
      <color rgb="FF1B2B4B"/>
      <name val="Arial"/>
      <family val="0"/>
      <charset val="1"/>
    </font>
    <font>
      <b val="true"/>
      <sz val="10"/>
      <color rgb="FFFD7E14"/>
      <name val="Arial"/>
      <family val="0"/>
      <charset val="1"/>
    </font>
    <font>
      <b val="true"/>
      <sz val="10"/>
      <color rgb="FF721C24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B2B4B"/>
        <bgColor rgb="FF2D2D2D"/>
      </patternFill>
    </fill>
    <fill>
      <patternFill patternType="solid">
        <fgColor rgb="FFC9A84C"/>
        <bgColor rgb="FF9CA3AF"/>
      </patternFill>
    </fill>
    <fill>
      <patternFill patternType="solid">
        <fgColor rgb="FFF5F5F5"/>
        <bgColor rgb="FFE8F4FD"/>
      </patternFill>
    </fill>
    <fill>
      <patternFill patternType="solid">
        <fgColor rgb="FFFFF9E6"/>
        <bgColor rgb="FFFFF5D6"/>
      </patternFill>
    </fill>
    <fill>
      <patternFill patternType="solid">
        <fgColor rgb="FFFFFFFF"/>
        <bgColor rgb="FFFFF9E6"/>
      </patternFill>
    </fill>
    <fill>
      <patternFill patternType="solid">
        <fgColor rgb="FFFFF5D6"/>
        <bgColor rgb="FFFFF3CD"/>
      </patternFill>
    </fill>
    <fill>
      <patternFill patternType="solid">
        <fgColor rgb="FF155724"/>
        <bgColor rgb="FF333300"/>
      </patternFill>
    </fill>
    <fill>
      <patternFill patternType="solid">
        <fgColor rgb="FFDC3545"/>
        <bgColor rgb="FF993366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5D6"/>
      </patternFill>
    </fill>
    <fill>
      <patternFill patternType="solid">
        <fgColor rgb="FFE8F4FD"/>
        <bgColor rgb="FFF5F5F5"/>
      </patternFill>
    </fill>
    <fill>
      <patternFill patternType="solid">
        <fgColor rgb="FFFFE5B4"/>
        <bgColor rgb="FFFFF3CD"/>
      </patternFill>
    </fill>
    <fill>
      <patternFill patternType="solid">
        <fgColor rgb="FFF8D7DA"/>
        <bgColor rgb="FFDDDD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6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1" fillId="1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1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3" fillId="1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3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24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21C24"/>
      <rgbColor rgb="FF008000"/>
      <rgbColor rgb="FF000080"/>
      <rgbColor rgb="FF856404"/>
      <rgbColor rgb="FF800080"/>
      <rgbColor rgb="FF008080"/>
      <rgbColor rgb="FFF8D7DA"/>
      <rgbColor rgb="FF808080"/>
      <rgbColor rgb="FF9999FF"/>
      <rgbColor rgb="FFDC3545"/>
      <rgbColor rgb="FFFFF5D6"/>
      <rgbColor rgb="FFE8F4FD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4EDDA"/>
      <rgbColor rgb="FFFFF3CD"/>
      <rgbColor rgb="FFFFF9E6"/>
      <rgbColor rgb="FFFF99CC"/>
      <rgbColor rgb="FFCC99FF"/>
      <rgbColor rgb="FFFFE5B4"/>
      <rgbColor rgb="FF3366FF"/>
      <rgbColor rgb="FF33CCCC"/>
      <rgbColor rgb="FF99CC00"/>
      <rgbColor rgb="FFFFCC00"/>
      <rgbColor rgb="FFC9A84C"/>
      <rgbColor rgb="FFFD7E14"/>
      <rgbColor rgb="FF666699"/>
      <rgbColor rgb="FF9CA3AF"/>
      <rgbColor rgb="FF1B2B4B"/>
      <rgbColor rgb="FF339966"/>
      <rgbColor rgb="FF155724"/>
      <rgbColor rgb="FF333300"/>
      <rgbColor rgb="FF993300"/>
      <rgbColor rgb="FF993366"/>
      <rgbColor rgb="FF333399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0"/>
    <col collapsed="false" customWidth="true" hidden="false" outlineLevel="0" max="3" min="3" style="1" width="28"/>
  </cols>
  <sheetData>
    <row r="1" customFormat="false" ht="15" hidden="false" customHeight="true" outlineLevel="0" collapsed="false">
      <c r="A1" s="2"/>
      <c r="B1" s="2"/>
      <c r="C1" s="2"/>
    </row>
    <row r="2" customFormat="false" ht="39.75" hidden="false" customHeight="true" outlineLevel="0" collapsed="false">
      <c r="A2" s="3" t="s">
        <v>0</v>
      </c>
      <c r="B2" s="3"/>
      <c r="C2" s="3"/>
    </row>
    <row r="3" customFormat="false" ht="15" hidden="false" customHeight="true" outlineLevel="0" collapsed="false">
      <c r="A3" s="2"/>
      <c r="B3" s="2"/>
      <c r="C3" s="2"/>
    </row>
    <row r="4" customFormat="false" ht="15" hidden="false" customHeight="true" outlineLevel="0" collapsed="false">
      <c r="A4" s="4" t="s">
        <v>1</v>
      </c>
      <c r="B4" s="4"/>
      <c r="C4" s="4"/>
    </row>
    <row r="6" customFormat="false" ht="21.75" hidden="false" customHeight="true" outlineLevel="0" collapsed="false">
      <c r="A6" s="5" t="s">
        <v>2</v>
      </c>
      <c r="B6" s="5"/>
      <c r="C6" s="5"/>
    </row>
    <row r="7" customFormat="false" ht="19.5" hidden="false" customHeight="true" outlineLevel="0" collapsed="false">
      <c r="A7" s="6" t="s">
        <v>3</v>
      </c>
      <c r="B7" s="7" t="s">
        <v>4</v>
      </c>
      <c r="C7" s="8" t="s">
        <v>5</v>
      </c>
    </row>
    <row r="8" customFormat="false" ht="19.5" hidden="false" customHeight="true" outlineLevel="0" collapsed="false">
      <c r="A8" s="9" t="s">
        <v>6</v>
      </c>
      <c r="B8" s="7" t="s">
        <v>7</v>
      </c>
      <c r="C8" s="10" t="s">
        <v>8</v>
      </c>
    </row>
    <row r="9" customFormat="false" ht="19.5" hidden="false" customHeight="true" outlineLevel="0" collapsed="false">
      <c r="A9" s="6" t="s">
        <v>9</v>
      </c>
      <c r="B9" s="7" t="s">
        <v>10</v>
      </c>
      <c r="C9" s="8"/>
    </row>
    <row r="11" customFormat="false" ht="21.75" hidden="false" customHeight="true" outlineLevel="0" collapsed="false">
      <c r="A11" s="5" t="s">
        <v>11</v>
      </c>
      <c r="B11" s="5"/>
      <c r="C11" s="5"/>
    </row>
    <row r="12" customFormat="false" ht="19.5" hidden="false" customHeight="true" outlineLevel="0" collapsed="false">
      <c r="A12" s="9" t="s">
        <v>12</v>
      </c>
      <c r="B12" s="11" t="n">
        <v>45</v>
      </c>
      <c r="C12" s="10" t="s">
        <v>13</v>
      </c>
    </row>
    <row r="13" customFormat="false" ht="19.5" hidden="false" customHeight="true" outlineLevel="0" collapsed="false">
      <c r="A13" s="6" t="s">
        <v>14</v>
      </c>
      <c r="B13" s="11" t="n">
        <v>60</v>
      </c>
      <c r="C13" s="8" t="s">
        <v>15</v>
      </c>
    </row>
    <row r="14" customFormat="false" ht="19.5" hidden="false" customHeight="true" outlineLevel="0" collapsed="false">
      <c r="A14" s="9" t="s">
        <v>16</v>
      </c>
      <c r="B14" s="11" t="n">
        <v>90</v>
      </c>
      <c r="C14" s="10" t="s">
        <v>17</v>
      </c>
    </row>
    <row r="16" customFormat="false" ht="21.75" hidden="false" customHeight="true" outlineLevel="0" collapsed="false">
      <c r="A16" s="5" t="s">
        <v>18</v>
      </c>
      <c r="B16" s="5"/>
      <c r="C16" s="5"/>
    </row>
    <row r="17" customFormat="false" ht="19.5" hidden="false" customHeight="true" outlineLevel="0" collapsed="false">
      <c r="A17" s="6" t="s">
        <v>19</v>
      </c>
      <c r="B17" s="11" t="n">
        <v>30</v>
      </c>
      <c r="C17" s="8" t="s">
        <v>20</v>
      </c>
    </row>
    <row r="18" customFormat="false" ht="19.5" hidden="false" customHeight="true" outlineLevel="0" collapsed="false">
      <c r="A18" s="9" t="s">
        <v>21</v>
      </c>
      <c r="B18" s="11" t="n">
        <v>5</v>
      </c>
      <c r="C18" s="10" t="s">
        <v>22</v>
      </c>
    </row>
    <row r="21" customFormat="false" ht="60" hidden="false" customHeight="true" outlineLevel="0" collapsed="false">
      <c r="A21" s="12" t="s">
        <v>23</v>
      </c>
      <c r="B21" s="12"/>
      <c r="C21" s="12"/>
    </row>
  </sheetData>
  <mergeCells count="6">
    <mergeCell ref="A2:C2"/>
    <mergeCell ref="A4:C4"/>
    <mergeCell ref="A6:C6"/>
    <mergeCell ref="A11:C11"/>
    <mergeCell ref="A16:C16"/>
    <mergeCell ref="A21:C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7" min="5" style="1" width="14"/>
    <col collapsed="false" customWidth="true" hidden="false" outlineLevel="0" max="9" min="8" style="1" width="12"/>
    <col collapsed="false" customWidth="true" hidden="false" outlineLevel="0" max="10" min="10" style="1" width="16"/>
    <col collapsed="false" customWidth="true" hidden="false" outlineLevel="0" max="11" min="11" style="1" width="20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39.75" hidden="false" customHeight="true" outlineLevel="0" collapsed="false">
      <c r="A2" s="13" t="s">
        <v>24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5" customFormat="false" ht="36" hidden="false" customHeight="true" outlineLevel="0" collapsed="false">
      <c r="A5" s="14" t="s">
        <v>25</v>
      </c>
      <c r="B5" s="14" t="s">
        <v>26</v>
      </c>
      <c r="C5" s="14" t="s">
        <v>27</v>
      </c>
      <c r="D5" s="14" t="s">
        <v>28</v>
      </c>
      <c r="E5" s="14" t="s">
        <v>29</v>
      </c>
      <c r="F5" s="14" t="s">
        <v>30</v>
      </c>
      <c r="G5" s="14" t="s">
        <v>31</v>
      </c>
      <c r="H5" s="14" t="s">
        <v>32</v>
      </c>
      <c r="I5" s="14" t="s">
        <v>33</v>
      </c>
      <c r="J5" s="14" t="s">
        <v>34</v>
      </c>
      <c r="K5" s="14" t="s">
        <v>35</v>
      </c>
    </row>
    <row r="6" customFormat="false" ht="15.75" hidden="false" customHeight="true" outlineLevel="0" collapsed="false">
      <c r="A6" s="15" t="s">
        <v>36</v>
      </c>
      <c r="B6" s="15"/>
      <c r="C6" s="15"/>
      <c r="D6" s="15"/>
      <c r="E6" s="15"/>
      <c r="F6" s="15"/>
      <c r="G6" s="15"/>
      <c r="H6" s="15"/>
      <c r="I6" s="15"/>
      <c r="J6" s="15"/>
      <c r="K6" s="15"/>
    </row>
    <row r="7" customFormat="false" ht="19.5" hidden="false" customHeight="true" outlineLevel="0" collapsed="false">
      <c r="A7" s="16" t="n">
        <v>1</v>
      </c>
      <c r="B7" s="17"/>
      <c r="C7" s="17"/>
      <c r="D7" s="17"/>
      <c r="E7" s="18"/>
      <c r="F7" s="19" t="str">
        <f aca="false">IF(E7&lt;&gt;"",E7+Config!$B$14,"")</f>
        <v/>
      </c>
      <c r="G7" s="20"/>
      <c r="H7" s="18"/>
      <c r="I7" s="20"/>
      <c r="J7" s="21" t="str">
        <f aca="true">IF(E7="","-",IF(H7&lt;&gt;"",H7-E7,IF(G7&gt;0,TODAY()-E7,"-")))</f>
        <v>-</v>
      </c>
      <c r="K7" s="22" t="str">
        <f aca="true">IF(E7="","",IF(H7&lt;&gt;"",IF(I7&gt;=G7,"✅ Payé","⚠️ Payé partiel"),IF(TODAY()&gt;F7+Config!$B$15,IF(TODAY()-E7&gt;Config!$B$14,"🚨 Critique",IF(TODAY()-E7&gt;Config!$B$13,"⚠️ Retard","⏰ En attente")),IF(G7&gt;0,"⏳ Non échu",""))))</f>
        <v/>
      </c>
    </row>
    <row r="8" customFormat="false" ht="19.5" hidden="false" customHeight="true" outlineLevel="0" collapsed="false">
      <c r="A8" s="23" t="n">
        <v>2</v>
      </c>
      <c r="B8" s="17"/>
      <c r="C8" s="17"/>
      <c r="D8" s="17"/>
      <c r="E8" s="18"/>
      <c r="F8" s="19" t="str">
        <f aca="false">IF(E8&lt;&gt;"",E8+Config!$B$14,"")</f>
        <v/>
      </c>
      <c r="G8" s="20"/>
      <c r="H8" s="18"/>
      <c r="I8" s="20"/>
      <c r="J8" s="24" t="str">
        <f aca="true">IF(E8="","-",IF(H8&lt;&gt;"",H8-E8,IF(G8&gt;0,TODAY()-E8,"-")))</f>
        <v>-</v>
      </c>
      <c r="K8" s="25" t="str">
        <f aca="true">IF(E8="","",IF(H8&lt;&gt;"",IF(I8&gt;=G8,"✅ Payé","⚠️ Payé partiel"),IF(TODAY()&gt;F8+Config!$B$15,IF(TODAY()-E8&gt;Config!$B$14,"🚨 Critique",IF(TODAY()-E8&gt;Config!$B$13,"⚠️ Retard","⏰ En attente")),IF(G8&gt;0,"⏳ Non échu",""))))</f>
        <v/>
      </c>
    </row>
    <row r="9" customFormat="false" ht="19.5" hidden="false" customHeight="true" outlineLevel="0" collapsed="false">
      <c r="A9" s="16" t="n">
        <v>3</v>
      </c>
      <c r="B9" s="17"/>
      <c r="C9" s="17"/>
      <c r="D9" s="17"/>
      <c r="E9" s="18"/>
      <c r="F9" s="19" t="str">
        <f aca="false">IF(E9&lt;&gt;"",E9+Config!$B$14,"")</f>
        <v/>
      </c>
      <c r="G9" s="20"/>
      <c r="H9" s="18"/>
      <c r="I9" s="20"/>
      <c r="J9" s="21" t="str">
        <f aca="true">IF(E9="","-",IF(H9&lt;&gt;"",H9-E9,IF(G9&gt;0,TODAY()-E9,"-")))</f>
        <v>-</v>
      </c>
      <c r="K9" s="22" t="str">
        <f aca="true">IF(E9="","",IF(H9&lt;&gt;"",IF(I9&gt;=G9,"✅ Payé","⚠️ Payé partiel"),IF(TODAY()&gt;F9+Config!$B$15,IF(TODAY()-E9&gt;Config!$B$14,"🚨 Critique",IF(TODAY()-E9&gt;Config!$B$13,"⚠️ Retard","⏰ En attente")),IF(G9&gt;0,"⏳ Non échu",""))))</f>
        <v/>
      </c>
    </row>
    <row r="10" customFormat="false" ht="19.5" hidden="false" customHeight="true" outlineLevel="0" collapsed="false">
      <c r="A10" s="23" t="n">
        <v>4</v>
      </c>
      <c r="B10" s="17"/>
      <c r="C10" s="17"/>
      <c r="D10" s="17"/>
      <c r="E10" s="18"/>
      <c r="F10" s="19" t="str">
        <f aca="false">IF(E10&lt;&gt;"",E10+Config!$B$14,"")</f>
        <v/>
      </c>
      <c r="G10" s="20"/>
      <c r="H10" s="18"/>
      <c r="I10" s="20"/>
      <c r="J10" s="24" t="str">
        <f aca="true">IF(E10="","-",IF(H10&lt;&gt;"",H10-E10,IF(G10&gt;0,TODAY()-E10,"-")))</f>
        <v>-</v>
      </c>
      <c r="K10" s="25" t="str">
        <f aca="true">IF(E10="","",IF(H10&lt;&gt;"",IF(I10&gt;=G10,"✅ Payé","⚠️ Payé partiel"),IF(TODAY()&gt;F10+Config!$B$15,IF(TODAY()-E10&gt;Config!$B$14,"🚨 Critique",IF(TODAY()-E10&gt;Config!$B$13,"⚠️ Retard","⏰ En attente")),IF(G10&gt;0,"⏳ Non échu",""))))</f>
        <v/>
      </c>
    </row>
    <row r="11" customFormat="false" ht="19.5" hidden="false" customHeight="true" outlineLevel="0" collapsed="false">
      <c r="A11" s="16" t="n">
        <v>5</v>
      </c>
      <c r="B11" s="17"/>
      <c r="C11" s="17"/>
      <c r="D11" s="17"/>
      <c r="E11" s="18"/>
      <c r="F11" s="19" t="str">
        <f aca="false">IF(E11&lt;&gt;"",E11+Config!$B$14,"")</f>
        <v/>
      </c>
      <c r="G11" s="20"/>
      <c r="H11" s="18"/>
      <c r="I11" s="20"/>
      <c r="J11" s="21" t="str">
        <f aca="true">IF(E11="","-",IF(H11&lt;&gt;"",H11-E11,IF(G11&gt;0,TODAY()-E11,"-")))</f>
        <v>-</v>
      </c>
      <c r="K11" s="22" t="str">
        <f aca="true">IF(E11="","",IF(H11&lt;&gt;"",IF(I11&gt;=G11,"✅ Payé","⚠️ Payé partiel"),IF(TODAY()&gt;F11+Config!$B$15,IF(TODAY()-E11&gt;Config!$B$14,"🚨 Critique",IF(TODAY()-E11&gt;Config!$B$13,"⚠️ Retard","⏰ En attente")),IF(G11&gt;0,"⏳ Non échu",""))))</f>
        <v/>
      </c>
    </row>
    <row r="12" customFormat="false" ht="19.5" hidden="false" customHeight="true" outlineLevel="0" collapsed="false">
      <c r="A12" s="23" t="n">
        <v>6</v>
      </c>
      <c r="B12" s="17"/>
      <c r="C12" s="17"/>
      <c r="D12" s="17"/>
      <c r="E12" s="18"/>
      <c r="F12" s="19" t="str">
        <f aca="false">IF(E12&lt;&gt;"",E12+Config!$B$14,"")</f>
        <v/>
      </c>
      <c r="G12" s="20"/>
      <c r="H12" s="18"/>
      <c r="I12" s="20"/>
      <c r="J12" s="24" t="str">
        <f aca="true">IF(E12="","-",IF(H12&lt;&gt;"",H12-E12,IF(G12&gt;0,TODAY()-E12,"-")))</f>
        <v>-</v>
      </c>
      <c r="K12" s="25" t="str">
        <f aca="true">IF(E12="","",IF(H12&lt;&gt;"",IF(I12&gt;=G12,"✅ Payé","⚠️ Payé partiel"),IF(TODAY()&gt;F12+Config!$B$15,IF(TODAY()-E12&gt;Config!$B$14,"🚨 Critique",IF(TODAY()-E12&gt;Config!$B$13,"⚠️ Retard","⏰ En attente")),IF(G12&gt;0,"⏳ Non échu",""))))</f>
        <v/>
      </c>
    </row>
    <row r="13" customFormat="false" ht="19.5" hidden="false" customHeight="true" outlineLevel="0" collapsed="false">
      <c r="A13" s="16" t="n">
        <v>7</v>
      </c>
      <c r="B13" s="17"/>
      <c r="C13" s="17"/>
      <c r="D13" s="17"/>
      <c r="E13" s="18"/>
      <c r="F13" s="19" t="str">
        <f aca="false">IF(E13&lt;&gt;"",E13+Config!$B$14,"")</f>
        <v/>
      </c>
      <c r="G13" s="20"/>
      <c r="H13" s="18"/>
      <c r="I13" s="20"/>
      <c r="J13" s="21" t="str">
        <f aca="true">IF(E13="","-",IF(H13&lt;&gt;"",H13-E13,IF(G13&gt;0,TODAY()-E13,"-")))</f>
        <v>-</v>
      </c>
      <c r="K13" s="22" t="str">
        <f aca="true">IF(E13="","",IF(H13&lt;&gt;"",IF(I13&gt;=G13,"✅ Payé","⚠️ Payé partiel"),IF(TODAY()&gt;F13+Config!$B$15,IF(TODAY()-E13&gt;Config!$B$14,"🚨 Critique",IF(TODAY()-E13&gt;Config!$B$13,"⚠️ Retard","⏰ En attente")),IF(G13&gt;0,"⏳ Non échu",""))))</f>
        <v/>
      </c>
    </row>
    <row r="14" customFormat="false" ht="19.5" hidden="false" customHeight="true" outlineLevel="0" collapsed="false">
      <c r="A14" s="23" t="n">
        <v>8</v>
      </c>
      <c r="B14" s="17"/>
      <c r="C14" s="17"/>
      <c r="D14" s="17"/>
      <c r="E14" s="18"/>
      <c r="F14" s="19" t="str">
        <f aca="false">IF(E14&lt;&gt;"",E14+Config!$B$14,"")</f>
        <v/>
      </c>
      <c r="G14" s="20"/>
      <c r="H14" s="18"/>
      <c r="I14" s="20"/>
      <c r="J14" s="24" t="str">
        <f aca="true">IF(E14="","-",IF(H14&lt;&gt;"",H14-E14,IF(G14&gt;0,TODAY()-E14,"-")))</f>
        <v>-</v>
      </c>
      <c r="K14" s="25" t="str">
        <f aca="true">IF(E14="","",IF(H14&lt;&gt;"",IF(I14&gt;=G14,"✅ Payé","⚠️ Payé partiel"),IF(TODAY()&gt;F14+Config!$B$15,IF(TODAY()-E14&gt;Config!$B$14,"🚨 Critique",IF(TODAY()-E14&gt;Config!$B$13,"⚠️ Retard","⏰ En attente")),IF(G14&gt;0,"⏳ Non échu",""))))</f>
        <v/>
      </c>
    </row>
    <row r="15" customFormat="false" ht="19.5" hidden="false" customHeight="true" outlineLevel="0" collapsed="false">
      <c r="A15" s="16" t="n">
        <v>9</v>
      </c>
      <c r="B15" s="17"/>
      <c r="C15" s="17"/>
      <c r="D15" s="17"/>
      <c r="E15" s="18"/>
      <c r="F15" s="19" t="str">
        <f aca="false">IF(E15&lt;&gt;"",E15+Config!$B$14,"")</f>
        <v/>
      </c>
      <c r="G15" s="20"/>
      <c r="H15" s="18"/>
      <c r="I15" s="20"/>
      <c r="J15" s="21" t="str">
        <f aca="true">IF(E15="","-",IF(H15&lt;&gt;"",H15-E15,IF(G15&gt;0,TODAY()-E15,"-")))</f>
        <v>-</v>
      </c>
      <c r="K15" s="22" t="str">
        <f aca="true">IF(E15="","",IF(H15&lt;&gt;"",IF(I15&gt;=G15,"✅ Payé","⚠️ Payé partiel"),IF(TODAY()&gt;F15+Config!$B$15,IF(TODAY()-E15&gt;Config!$B$14,"🚨 Critique",IF(TODAY()-E15&gt;Config!$B$13,"⚠️ Retard","⏰ En attente")),IF(G15&gt;0,"⏳ Non échu",""))))</f>
        <v/>
      </c>
    </row>
    <row r="16" customFormat="false" ht="19.5" hidden="false" customHeight="true" outlineLevel="0" collapsed="false">
      <c r="A16" s="23" t="n">
        <v>10</v>
      </c>
      <c r="B16" s="17"/>
      <c r="C16" s="17"/>
      <c r="D16" s="17"/>
      <c r="E16" s="18"/>
      <c r="F16" s="19" t="str">
        <f aca="false">IF(E16&lt;&gt;"",E16+Config!$B$14,"")</f>
        <v/>
      </c>
      <c r="G16" s="20"/>
      <c r="H16" s="18"/>
      <c r="I16" s="20"/>
      <c r="J16" s="24" t="str">
        <f aca="true">IF(E16="","-",IF(H16&lt;&gt;"",H16-E16,IF(G16&gt;0,TODAY()-E16,"-")))</f>
        <v>-</v>
      </c>
      <c r="K16" s="25" t="str">
        <f aca="true">IF(E16="","",IF(H16&lt;&gt;"",IF(I16&gt;=G16,"✅ Payé","⚠️ Payé partiel"),IF(TODAY()&gt;F16+Config!$B$15,IF(TODAY()-E16&gt;Config!$B$14,"🚨 Critique",IF(TODAY()-E16&gt;Config!$B$13,"⚠️ Retard","⏰ En attente")),IF(G16&gt;0,"⏳ Non échu",""))))</f>
        <v/>
      </c>
    </row>
    <row r="17" customFormat="false" ht="19.5" hidden="false" customHeight="true" outlineLevel="0" collapsed="false">
      <c r="A17" s="16" t="n">
        <v>11</v>
      </c>
      <c r="B17" s="17"/>
      <c r="C17" s="17"/>
      <c r="D17" s="17"/>
      <c r="E17" s="18"/>
      <c r="F17" s="19" t="str">
        <f aca="false">IF(E17&lt;&gt;"",E17+Config!$B$14,"")</f>
        <v/>
      </c>
      <c r="G17" s="20"/>
      <c r="H17" s="18"/>
      <c r="I17" s="20"/>
      <c r="J17" s="21" t="str">
        <f aca="true">IF(E17="","-",IF(H17&lt;&gt;"",H17-E17,IF(G17&gt;0,TODAY()-E17,"-")))</f>
        <v>-</v>
      </c>
      <c r="K17" s="22" t="str">
        <f aca="true">IF(E17="","",IF(H17&lt;&gt;"",IF(I17&gt;=G17,"✅ Payé","⚠️ Payé partiel"),IF(TODAY()&gt;F17+Config!$B$15,IF(TODAY()-E17&gt;Config!$B$14,"🚨 Critique",IF(TODAY()-E17&gt;Config!$B$13,"⚠️ Retard","⏰ En attente")),IF(G17&gt;0,"⏳ Non échu",""))))</f>
        <v/>
      </c>
    </row>
    <row r="18" customFormat="false" ht="19.5" hidden="false" customHeight="true" outlineLevel="0" collapsed="false">
      <c r="A18" s="23" t="n">
        <v>12</v>
      </c>
      <c r="B18" s="17"/>
      <c r="C18" s="17"/>
      <c r="D18" s="17"/>
      <c r="E18" s="18"/>
      <c r="F18" s="19" t="str">
        <f aca="false">IF(E18&lt;&gt;"",E18+Config!$B$14,"")</f>
        <v/>
      </c>
      <c r="G18" s="20"/>
      <c r="H18" s="18"/>
      <c r="I18" s="20"/>
      <c r="J18" s="24" t="str">
        <f aca="true">IF(E18="","-",IF(H18&lt;&gt;"",H18-E18,IF(G18&gt;0,TODAY()-E18,"-")))</f>
        <v>-</v>
      </c>
      <c r="K18" s="25" t="str">
        <f aca="true">IF(E18="","",IF(H18&lt;&gt;"",IF(I18&gt;=G18,"✅ Payé","⚠️ Payé partiel"),IF(TODAY()&gt;F18+Config!$B$15,IF(TODAY()-E18&gt;Config!$B$14,"🚨 Critique",IF(TODAY()-E18&gt;Config!$B$13,"⚠️ Retard","⏰ En attente")),IF(G18&gt;0,"⏳ Non échu",""))))</f>
        <v/>
      </c>
    </row>
    <row r="19" customFormat="false" ht="19.5" hidden="false" customHeight="true" outlineLevel="0" collapsed="false">
      <c r="A19" s="16" t="n">
        <v>13</v>
      </c>
      <c r="B19" s="17"/>
      <c r="C19" s="17"/>
      <c r="D19" s="17"/>
      <c r="E19" s="18"/>
      <c r="F19" s="19" t="str">
        <f aca="false">IF(E19&lt;&gt;"",E19+Config!$B$14,"")</f>
        <v/>
      </c>
      <c r="G19" s="20"/>
      <c r="H19" s="18"/>
      <c r="I19" s="20"/>
      <c r="J19" s="21" t="str">
        <f aca="true">IF(E19="","-",IF(H19&lt;&gt;"",H19-E19,IF(G19&gt;0,TODAY()-E19,"-")))</f>
        <v>-</v>
      </c>
      <c r="K19" s="22" t="str">
        <f aca="true">IF(E19="","",IF(H19&lt;&gt;"",IF(I19&gt;=G19,"✅ Payé","⚠️ Payé partiel"),IF(TODAY()&gt;F19+Config!$B$15,IF(TODAY()-E19&gt;Config!$B$14,"🚨 Critique",IF(TODAY()-E19&gt;Config!$B$13,"⚠️ Retard","⏰ En attente")),IF(G19&gt;0,"⏳ Non échu",""))))</f>
        <v/>
      </c>
    </row>
    <row r="20" customFormat="false" ht="19.5" hidden="false" customHeight="true" outlineLevel="0" collapsed="false">
      <c r="A20" s="23" t="n">
        <v>14</v>
      </c>
      <c r="B20" s="17"/>
      <c r="C20" s="17"/>
      <c r="D20" s="17"/>
      <c r="E20" s="18"/>
      <c r="F20" s="19" t="str">
        <f aca="false">IF(E20&lt;&gt;"",E20+Config!$B$14,"")</f>
        <v/>
      </c>
      <c r="G20" s="20"/>
      <c r="H20" s="18"/>
      <c r="I20" s="20"/>
      <c r="J20" s="24" t="str">
        <f aca="true">IF(E20="","-",IF(H20&lt;&gt;"",H20-E20,IF(G20&gt;0,TODAY()-E20,"-")))</f>
        <v>-</v>
      </c>
      <c r="K20" s="25" t="str">
        <f aca="true">IF(E20="","",IF(H20&lt;&gt;"",IF(I20&gt;=G20,"✅ Payé","⚠️ Payé partiel"),IF(TODAY()&gt;F20+Config!$B$15,IF(TODAY()-E20&gt;Config!$B$14,"🚨 Critique",IF(TODAY()-E20&gt;Config!$B$13,"⚠️ Retard","⏰ En attente")),IF(G20&gt;0,"⏳ Non échu",""))))</f>
        <v/>
      </c>
    </row>
    <row r="21" customFormat="false" ht="19.5" hidden="false" customHeight="true" outlineLevel="0" collapsed="false">
      <c r="A21" s="16" t="n">
        <v>15</v>
      </c>
      <c r="B21" s="17"/>
      <c r="C21" s="17"/>
      <c r="D21" s="17"/>
      <c r="E21" s="18"/>
      <c r="F21" s="19" t="str">
        <f aca="false">IF(E21&lt;&gt;"",E21+Config!$B$14,"")</f>
        <v/>
      </c>
      <c r="G21" s="20"/>
      <c r="H21" s="18"/>
      <c r="I21" s="20"/>
      <c r="J21" s="21" t="str">
        <f aca="true">IF(E21="","-",IF(H21&lt;&gt;"",H21-E21,IF(G21&gt;0,TODAY()-E21,"-")))</f>
        <v>-</v>
      </c>
      <c r="K21" s="22" t="str">
        <f aca="true">IF(E21="","",IF(H21&lt;&gt;"",IF(I21&gt;=G21,"✅ Payé","⚠️ Payé partiel"),IF(TODAY()&gt;F21+Config!$B$15,IF(TODAY()-E21&gt;Config!$B$14,"🚨 Critique",IF(TODAY()-E21&gt;Config!$B$13,"⚠️ Retard","⏰ En attente")),IF(G21&gt;0,"⏳ Non échu",""))))</f>
        <v/>
      </c>
    </row>
    <row r="22" customFormat="false" ht="19.5" hidden="false" customHeight="true" outlineLevel="0" collapsed="false">
      <c r="A22" s="23" t="n">
        <v>16</v>
      </c>
      <c r="B22" s="17"/>
      <c r="C22" s="17"/>
      <c r="D22" s="17"/>
      <c r="E22" s="18"/>
      <c r="F22" s="19" t="str">
        <f aca="false">IF(E22&lt;&gt;"",E22+Config!$B$14,"")</f>
        <v/>
      </c>
      <c r="G22" s="20"/>
      <c r="H22" s="18"/>
      <c r="I22" s="20"/>
      <c r="J22" s="24" t="str">
        <f aca="true">IF(E22="","-",IF(H22&lt;&gt;"",H22-E22,IF(G22&gt;0,TODAY()-E22,"-")))</f>
        <v>-</v>
      </c>
      <c r="K22" s="25" t="str">
        <f aca="true">IF(E22="","",IF(H22&lt;&gt;"",IF(I22&gt;=G22,"✅ Payé","⚠️ Payé partiel"),IF(TODAY()&gt;F22+Config!$B$15,IF(TODAY()-E22&gt;Config!$B$14,"🚨 Critique",IF(TODAY()-E22&gt;Config!$B$13,"⚠️ Retard","⏰ En attente")),IF(G22&gt;0,"⏳ Non échu",""))))</f>
        <v/>
      </c>
    </row>
    <row r="23" customFormat="false" ht="19.5" hidden="false" customHeight="true" outlineLevel="0" collapsed="false">
      <c r="A23" s="16" t="n">
        <v>17</v>
      </c>
      <c r="B23" s="17"/>
      <c r="C23" s="17"/>
      <c r="D23" s="17"/>
      <c r="E23" s="18"/>
      <c r="F23" s="19" t="str">
        <f aca="false">IF(E23&lt;&gt;"",E23+Config!$B$14,"")</f>
        <v/>
      </c>
      <c r="G23" s="20"/>
      <c r="H23" s="18"/>
      <c r="I23" s="20"/>
      <c r="J23" s="21" t="str">
        <f aca="true">IF(E23="","-",IF(H23&lt;&gt;"",H23-E23,IF(G23&gt;0,TODAY()-E23,"-")))</f>
        <v>-</v>
      </c>
      <c r="K23" s="22" t="str">
        <f aca="true">IF(E23="","",IF(H23&lt;&gt;"",IF(I23&gt;=G23,"✅ Payé","⚠️ Payé partiel"),IF(TODAY()&gt;F23+Config!$B$15,IF(TODAY()-E23&gt;Config!$B$14,"🚨 Critique",IF(TODAY()-E23&gt;Config!$B$13,"⚠️ Retard","⏰ En attente")),IF(G23&gt;0,"⏳ Non échu",""))))</f>
        <v/>
      </c>
    </row>
    <row r="24" customFormat="false" ht="19.5" hidden="false" customHeight="true" outlineLevel="0" collapsed="false">
      <c r="A24" s="23" t="n">
        <v>18</v>
      </c>
      <c r="B24" s="17"/>
      <c r="C24" s="17"/>
      <c r="D24" s="17"/>
      <c r="E24" s="18"/>
      <c r="F24" s="19" t="str">
        <f aca="false">IF(E24&lt;&gt;"",E24+Config!$B$14,"")</f>
        <v/>
      </c>
      <c r="G24" s="20"/>
      <c r="H24" s="18"/>
      <c r="I24" s="20"/>
      <c r="J24" s="24" t="str">
        <f aca="true">IF(E24="","-",IF(H24&lt;&gt;"",H24-E24,IF(G24&gt;0,TODAY()-E24,"-")))</f>
        <v>-</v>
      </c>
      <c r="K24" s="25" t="str">
        <f aca="true">IF(E24="","",IF(H24&lt;&gt;"",IF(I24&gt;=G24,"✅ Payé","⚠️ Payé partiel"),IF(TODAY()&gt;F24+Config!$B$15,IF(TODAY()-E24&gt;Config!$B$14,"🚨 Critique",IF(TODAY()-E24&gt;Config!$B$13,"⚠️ Retard","⏰ En attente")),IF(G24&gt;0,"⏳ Non échu",""))))</f>
        <v/>
      </c>
    </row>
    <row r="25" customFormat="false" ht="19.5" hidden="false" customHeight="true" outlineLevel="0" collapsed="false">
      <c r="A25" s="16" t="n">
        <v>19</v>
      </c>
      <c r="B25" s="17"/>
      <c r="C25" s="17"/>
      <c r="D25" s="17"/>
      <c r="E25" s="18"/>
      <c r="F25" s="19" t="str">
        <f aca="false">IF(E25&lt;&gt;"",E25+Config!$B$14,"")</f>
        <v/>
      </c>
      <c r="G25" s="20"/>
      <c r="H25" s="18"/>
      <c r="I25" s="20"/>
      <c r="J25" s="21" t="str">
        <f aca="true">IF(E25="","-",IF(H25&lt;&gt;"",H25-E25,IF(G25&gt;0,TODAY()-E25,"-")))</f>
        <v>-</v>
      </c>
      <c r="K25" s="22" t="str">
        <f aca="true">IF(E25="","",IF(H25&lt;&gt;"",IF(I25&gt;=G25,"✅ Payé","⚠️ Payé partiel"),IF(TODAY()&gt;F25+Config!$B$15,IF(TODAY()-E25&gt;Config!$B$14,"🚨 Critique",IF(TODAY()-E25&gt;Config!$B$13,"⚠️ Retard","⏰ En attente")),IF(G25&gt;0,"⏳ Non échu",""))))</f>
        <v/>
      </c>
    </row>
    <row r="26" customFormat="false" ht="19.5" hidden="false" customHeight="true" outlineLevel="0" collapsed="false">
      <c r="A26" s="23" t="n">
        <v>20</v>
      </c>
      <c r="B26" s="17"/>
      <c r="C26" s="17"/>
      <c r="D26" s="17"/>
      <c r="E26" s="18"/>
      <c r="F26" s="19" t="str">
        <f aca="false">IF(E26&lt;&gt;"",E26+Config!$B$14,"")</f>
        <v/>
      </c>
      <c r="G26" s="20"/>
      <c r="H26" s="18"/>
      <c r="I26" s="20"/>
      <c r="J26" s="24" t="str">
        <f aca="true">IF(E26="","-",IF(H26&lt;&gt;"",H26-E26,IF(G26&gt;0,TODAY()-E26,"-")))</f>
        <v>-</v>
      </c>
      <c r="K26" s="25" t="str">
        <f aca="true">IF(E26="","",IF(H26&lt;&gt;"",IF(I26&gt;=G26,"✅ Payé","⚠️ Payé partiel"),IF(TODAY()&gt;F26+Config!$B$15,IF(TODAY()-E26&gt;Config!$B$14,"🚨 Critique",IF(TODAY()-E26&gt;Config!$B$13,"⚠️ Retard","⏰ En attente")),IF(G26&gt;0,"⏳ Non échu",""))))</f>
        <v/>
      </c>
    </row>
    <row r="27" customFormat="false" ht="19.5" hidden="false" customHeight="true" outlineLevel="0" collapsed="false">
      <c r="A27" s="16" t="n">
        <v>21</v>
      </c>
      <c r="B27" s="17"/>
      <c r="C27" s="17"/>
      <c r="D27" s="17"/>
      <c r="E27" s="18"/>
      <c r="F27" s="19" t="str">
        <f aca="false">IF(E27&lt;&gt;"",E27+Config!$B$14,"")</f>
        <v/>
      </c>
      <c r="G27" s="20"/>
      <c r="H27" s="18"/>
      <c r="I27" s="20"/>
      <c r="J27" s="21" t="str">
        <f aca="true">IF(E27="","-",IF(H27&lt;&gt;"",H27-E27,IF(G27&gt;0,TODAY()-E27,"-")))</f>
        <v>-</v>
      </c>
      <c r="K27" s="22" t="str">
        <f aca="true">IF(E27="","",IF(H27&lt;&gt;"",IF(I27&gt;=G27,"✅ Payé","⚠️ Payé partiel"),IF(TODAY()&gt;F27+Config!$B$15,IF(TODAY()-E27&gt;Config!$B$14,"🚨 Critique",IF(TODAY()-E27&gt;Config!$B$13,"⚠️ Retard","⏰ En attente")),IF(G27&gt;0,"⏳ Non échu",""))))</f>
        <v/>
      </c>
    </row>
    <row r="28" customFormat="false" ht="19.5" hidden="false" customHeight="true" outlineLevel="0" collapsed="false">
      <c r="A28" s="23" t="n">
        <v>22</v>
      </c>
      <c r="B28" s="17"/>
      <c r="C28" s="17"/>
      <c r="D28" s="17"/>
      <c r="E28" s="18"/>
      <c r="F28" s="19" t="str">
        <f aca="false">IF(E28&lt;&gt;"",E28+Config!$B$14,"")</f>
        <v/>
      </c>
      <c r="G28" s="20"/>
      <c r="H28" s="18"/>
      <c r="I28" s="20"/>
      <c r="J28" s="24" t="str">
        <f aca="true">IF(E28="","-",IF(H28&lt;&gt;"",H28-E28,IF(G28&gt;0,TODAY()-E28,"-")))</f>
        <v>-</v>
      </c>
      <c r="K28" s="25" t="str">
        <f aca="true">IF(E28="","",IF(H28&lt;&gt;"",IF(I28&gt;=G28,"✅ Payé","⚠️ Payé partiel"),IF(TODAY()&gt;F28+Config!$B$15,IF(TODAY()-E28&gt;Config!$B$14,"🚨 Critique",IF(TODAY()-E28&gt;Config!$B$13,"⚠️ Retard","⏰ En attente")),IF(G28&gt;0,"⏳ Non échu",""))))</f>
        <v/>
      </c>
    </row>
    <row r="29" customFormat="false" ht="19.5" hidden="false" customHeight="true" outlineLevel="0" collapsed="false">
      <c r="A29" s="16" t="n">
        <v>23</v>
      </c>
      <c r="B29" s="17"/>
      <c r="C29" s="17"/>
      <c r="D29" s="17"/>
      <c r="E29" s="18"/>
      <c r="F29" s="19" t="str">
        <f aca="false">IF(E29&lt;&gt;"",E29+Config!$B$14,"")</f>
        <v/>
      </c>
      <c r="G29" s="20"/>
      <c r="H29" s="18"/>
      <c r="I29" s="20"/>
      <c r="J29" s="21" t="str">
        <f aca="true">IF(E29="","-",IF(H29&lt;&gt;"",H29-E29,IF(G29&gt;0,TODAY()-E29,"-")))</f>
        <v>-</v>
      </c>
      <c r="K29" s="22" t="str">
        <f aca="true">IF(E29="","",IF(H29&lt;&gt;"",IF(I29&gt;=G29,"✅ Payé","⚠️ Payé partiel"),IF(TODAY()&gt;F29+Config!$B$15,IF(TODAY()-E29&gt;Config!$B$14,"🚨 Critique",IF(TODAY()-E29&gt;Config!$B$13,"⚠️ Retard","⏰ En attente")),IF(G29&gt;0,"⏳ Non échu",""))))</f>
        <v/>
      </c>
    </row>
    <row r="30" customFormat="false" ht="19.5" hidden="false" customHeight="true" outlineLevel="0" collapsed="false">
      <c r="A30" s="23" t="n">
        <v>24</v>
      </c>
      <c r="B30" s="17"/>
      <c r="C30" s="17"/>
      <c r="D30" s="17"/>
      <c r="E30" s="18"/>
      <c r="F30" s="19" t="str">
        <f aca="false">IF(E30&lt;&gt;"",E30+Config!$B$14,"")</f>
        <v/>
      </c>
      <c r="G30" s="20"/>
      <c r="H30" s="18"/>
      <c r="I30" s="20"/>
      <c r="J30" s="24" t="str">
        <f aca="true">IF(E30="","-",IF(H30&lt;&gt;"",H30-E30,IF(G30&gt;0,TODAY()-E30,"-")))</f>
        <v>-</v>
      </c>
      <c r="K30" s="25" t="str">
        <f aca="true">IF(E30="","",IF(H30&lt;&gt;"",IF(I30&gt;=G30,"✅ Payé","⚠️ Payé partiel"),IF(TODAY()&gt;F30+Config!$B$15,IF(TODAY()-E30&gt;Config!$B$14,"🚨 Critique",IF(TODAY()-E30&gt;Config!$B$13,"⚠️ Retard","⏰ En attente")),IF(G30&gt;0,"⏳ Non échu",""))))</f>
        <v/>
      </c>
    </row>
    <row r="31" customFormat="false" ht="19.5" hidden="false" customHeight="true" outlineLevel="0" collapsed="false">
      <c r="A31" s="16" t="n">
        <v>25</v>
      </c>
      <c r="B31" s="17"/>
      <c r="C31" s="17"/>
      <c r="D31" s="17"/>
      <c r="E31" s="18"/>
      <c r="F31" s="19" t="str">
        <f aca="false">IF(E31&lt;&gt;"",E31+Config!$B$14,"")</f>
        <v/>
      </c>
      <c r="G31" s="20"/>
      <c r="H31" s="18"/>
      <c r="I31" s="20"/>
      <c r="J31" s="21" t="str">
        <f aca="true">IF(E31="","-",IF(H31&lt;&gt;"",H31-E31,IF(G31&gt;0,TODAY()-E31,"-")))</f>
        <v>-</v>
      </c>
      <c r="K31" s="22" t="str">
        <f aca="true">IF(E31="","",IF(H31&lt;&gt;"",IF(I31&gt;=G31,"✅ Payé","⚠️ Payé partiel"),IF(TODAY()&gt;F31+Config!$B$15,IF(TODAY()-E31&gt;Config!$B$14,"🚨 Critique",IF(TODAY()-E31&gt;Config!$B$13,"⚠️ Retard","⏰ En attente")),IF(G31&gt;0,"⏳ Non échu",""))))</f>
        <v/>
      </c>
    </row>
    <row r="32" customFormat="false" ht="19.5" hidden="false" customHeight="true" outlineLevel="0" collapsed="false">
      <c r="A32" s="23" t="n">
        <v>26</v>
      </c>
      <c r="B32" s="17"/>
      <c r="C32" s="17"/>
      <c r="D32" s="17"/>
      <c r="E32" s="18"/>
      <c r="F32" s="19" t="str">
        <f aca="false">IF(E32&lt;&gt;"",E32+Config!$B$14,"")</f>
        <v/>
      </c>
      <c r="G32" s="20"/>
      <c r="H32" s="18"/>
      <c r="I32" s="20"/>
      <c r="J32" s="24" t="str">
        <f aca="true">IF(E32="","-",IF(H32&lt;&gt;"",H32-E32,IF(G32&gt;0,TODAY()-E32,"-")))</f>
        <v>-</v>
      </c>
      <c r="K32" s="25" t="str">
        <f aca="true">IF(E32="","",IF(H32&lt;&gt;"",IF(I32&gt;=G32,"✅ Payé","⚠️ Payé partiel"),IF(TODAY()&gt;F32+Config!$B$15,IF(TODAY()-E32&gt;Config!$B$14,"🚨 Critique",IF(TODAY()-E32&gt;Config!$B$13,"⚠️ Retard","⏰ En attente")),IF(G32&gt;0,"⏳ Non échu",""))))</f>
        <v/>
      </c>
    </row>
    <row r="33" customFormat="false" ht="19.5" hidden="false" customHeight="true" outlineLevel="0" collapsed="false">
      <c r="A33" s="16" t="n">
        <v>27</v>
      </c>
      <c r="B33" s="17"/>
      <c r="C33" s="17"/>
      <c r="D33" s="17"/>
      <c r="E33" s="18"/>
      <c r="F33" s="19" t="str">
        <f aca="false">IF(E33&lt;&gt;"",E33+Config!$B$14,"")</f>
        <v/>
      </c>
      <c r="G33" s="20"/>
      <c r="H33" s="18"/>
      <c r="I33" s="20"/>
      <c r="J33" s="21" t="str">
        <f aca="true">IF(E33="","-",IF(H33&lt;&gt;"",H33-E33,IF(G33&gt;0,TODAY()-E33,"-")))</f>
        <v>-</v>
      </c>
      <c r="K33" s="22" t="str">
        <f aca="true">IF(E33="","",IF(H33&lt;&gt;"",IF(I33&gt;=G33,"✅ Payé","⚠️ Payé partiel"),IF(TODAY()&gt;F33+Config!$B$15,IF(TODAY()-E33&gt;Config!$B$14,"🚨 Critique",IF(TODAY()-E33&gt;Config!$B$13,"⚠️ Retard","⏰ En attente")),IF(G33&gt;0,"⏳ Non échu",""))))</f>
        <v/>
      </c>
    </row>
    <row r="34" customFormat="false" ht="19.5" hidden="false" customHeight="true" outlineLevel="0" collapsed="false">
      <c r="A34" s="23" t="n">
        <v>28</v>
      </c>
      <c r="B34" s="17"/>
      <c r="C34" s="17"/>
      <c r="D34" s="17"/>
      <c r="E34" s="18"/>
      <c r="F34" s="19" t="str">
        <f aca="false">IF(E34&lt;&gt;"",E34+Config!$B$14,"")</f>
        <v/>
      </c>
      <c r="G34" s="20"/>
      <c r="H34" s="18"/>
      <c r="I34" s="20"/>
      <c r="J34" s="24" t="str">
        <f aca="true">IF(E34="","-",IF(H34&lt;&gt;"",H34-E34,IF(G34&gt;0,TODAY()-E34,"-")))</f>
        <v>-</v>
      </c>
      <c r="K34" s="25" t="str">
        <f aca="true">IF(E34="","",IF(H34&lt;&gt;"",IF(I34&gt;=G34,"✅ Payé","⚠️ Payé partiel"),IF(TODAY()&gt;F34+Config!$B$15,IF(TODAY()-E34&gt;Config!$B$14,"🚨 Critique",IF(TODAY()-E34&gt;Config!$B$13,"⚠️ Retard","⏰ En attente")),IF(G34&gt;0,"⏳ Non échu",""))))</f>
        <v/>
      </c>
    </row>
    <row r="35" customFormat="false" ht="19.5" hidden="false" customHeight="true" outlineLevel="0" collapsed="false">
      <c r="A35" s="16" t="n">
        <v>29</v>
      </c>
      <c r="B35" s="17"/>
      <c r="C35" s="17"/>
      <c r="D35" s="17"/>
      <c r="E35" s="18"/>
      <c r="F35" s="19" t="str">
        <f aca="false">IF(E35&lt;&gt;"",E35+Config!$B$14,"")</f>
        <v/>
      </c>
      <c r="G35" s="20"/>
      <c r="H35" s="18"/>
      <c r="I35" s="20"/>
      <c r="J35" s="21" t="str">
        <f aca="true">IF(E35="","-",IF(H35&lt;&gt;"",H35-E35,IF(G35&gt;0,TODAY()-E35,"-")))</f>
        <v>-</v>
      </c>
      <c r="K35" s="22" t="str">
        <f aca="true">IF(E35="","",IF(H35&lt;&gt;"",IF(I35&gt;=G35,"✅ Payé","⚠️ Payé partiel"),IF(TODAY()&gt;F35+Config!$B$15,IF(TODAY()-E35&gt;Config!$B$14,"🚨 Critique",IF(TODAY()-E35&gt;Config!$B$13,"⚠️ Retard","⏰ En attente")),IF(G35&gt;0,"⏳ Non échu",""))))</f>
        <v/>
      </c>
    </row>
    <row r="36" customFormat="false" ht="19.5" hidden="false" customHeight="true" outlineLevel="0" collapsed="false">
      <c r="A36" s="23" t="n">
        <v>30</v>
      </c>
      <c r="B36" s="17"/>
      <c r="C36" s="17"/>
      <c r="D36" s="17"/>
      <c r="E36" s="18"/>
      <c r="F36" s="19" t="str">
        <f aca="false">IF(E36&lt;&gt;"",E36+Config!$B$14,"")</f>
        <v/>
      </c>
      <c r="G36" s="20"/>
      <c r="H36" s="18"/>
      <c r="I36" s="20"/>
      <c r="J36" s="24" t="str">
        <f aca="true">IF(E36="","-",IF(H36&lt;&gt;"",H36-E36,IF(G36&gt;0,TODAY()-E36,"-")))</f>
        <v>-</v>
      </c>
      <c r="K36" s="25" t="str">
        <f aca="true">IF(E36="","",IF(H36&lt;&gt;"",IF(I36&gt;=G36,"✅ Payé","⚠️ Payé partiel"),IF(TODAY()&gt;F36+Config!$B$15,IF(TODAY()-E36&gt;Config!$B$14,"🚨 Critique",IF(TODAY()-E36&gt;Config!$B$13,"⚠️ Retard","⏰ En attente")),IF(G36&gt;0,"⏳ Non échu",""))))</f>
        <v/>
      </c>
    </row>
    <row r="37" customFormat="false" ht="24" hidden="false" customHeight="true" outlineLevel="0" collapsed="false">
      <c r="A37" s="26" t="s">
        <v>37</v>
      </c>
      <c r="B37" s="26"/>
      <c r="C37" s="26"/>
      <c r="D37" s="26"/>
      <c r="E37" s="26"/>
      <c r="F37" s="26"/>
      <c r="G37" s="27" t="n">
        <f aca="false">SUM(G7:G36)</f>
        <v>0</v>
      </c>
      <c r="H37" s="2"/>
      <c r="I37" s="27" t="n">
        <f aca="false">SUM(I7:I36)</f>
        <v>0</v>
      </c>
      <c r="J37" s="28" t="str">
        <f aca="false">IF(SUM(G7:G36)&gt;0,SUMPRODUCT((G7:G36)*(J7:J36)*(J7:J36&lt;&gt;"-")*(J7:J36&lt;&gt;""))/SUMIF(G7:G36,"&gt;0"),"-")</f>
        <v>-</v>
      </c>
      <c r="K37" s="29" t="s">
        <v>38</v>
      </c>
    </row>
  </sheetData>
  <mergeCells count="3">
    <mergeCell ref="A2:K2"/>
    <mergeCell ref="A6:K6"/>
    <mergeCell ref="A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7" min="2" style="1" width="16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</row>
    <row r="2" customFormat="false" ht="39.75" hidden="false" customHeight="true" outlineLevel="0" collapsed="false">
      <c r="A2" s="13" t="s">
        <v>39</v>
      </c>
      <c r="B2" s="13"/>
      <c r="C2" s="13"/>
      <c r="D2" s="13"/>
      <c r="E2" s="13"/>
      <c r="F2" s="13"/>
      <c r="G2" s="1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</row>
    <row r="5" customFormat="false" ht="15" hidden="false" customHeight="true" outlineLevel="0" collapsed="false">
      <c r="A5" s="5" t="s">
        <v>40</v>
      </c>
      <c r="B5" s="5"/>
      <c r="C5" s="5"/>
      <c r="D5" s="5"/>
      <c r="E5" s="5"/>
      <c r="F5" s="5"/>
      <c r="G5" s="5"/>
    </row>
    <row r="6" customFormat="false" ht="13.5" hidden="false" customHeight="true" outlineLevel="0" collapsed="false">
      <c r="A6" s="30" t="s">
        <v>41</v>
      </c>
      <c r="B6" s="30"/>
      <c r="C6" s="31" t="s">
        <v>42</v>
      </c>
      <c r="D6" s="31"/>
      <c r="E6" s="32" t="s">
        <v>43</v>
      </c>
      <c r="F6" s="32"/>
    </row>
    <row r="7" customFormat="false" ht="37.5" hidden="false" customHeight="true" outlineLevel="0" collapsed="false">
      <c r="A7" s="33" t="str">
        <f aca="false">'Factures Clients'!J37</f>
        <v>-</v>
      </c>
      <c r="B7" s="33"/>
      <c r="C7" s="34" t="n">
        <f aca="false">'Factures Clients'!G37</f>
        <v>0</v>
      </c>
      <c r="D7" s="34"/>
      <c r="E7" s="35" t="n">
        <f aca="false">'Factures Clients'!I37</f>
        <v>0</v>
      </c>
      <c r="F7" s="35"/>
    </row>
    <row r="8" customFormat="false" ht="18" hidden="false" customHeight="true" outlineLevel="0" collapsed="false">
      <c r="A8" s="36" t="s">
        <v>44</v>
      </c>
      <c r="B8" s="36"/>
      <c r="C8" s="37" t="s">
        <v>45</v>
      </c>
      <c r="D8" s="37"/>
      <c r="E8" s="38" t="s">
        <v>46</v>
      </c>
      <c r="F8" s="38"/>
    </row>
    <row r="9" customFormat="false" ht="9.75" hidden="false" customHeight="true" outlineLevel="0" collapsed="false">
      <c r="A9" s="39"/>
      <c r="B9" s="39"/>
      <c r="C9" s="40"/>
      <c r="D9" s="40"/>
      <c r="E9" s="41"/>
      <c r="F9" s="41"/>
    </row>
    <row r="11" customFormat="false" ht="13.5" hidden="false" customHeight="true" outlineLevel="0" collapsed="false">
      <c r="A11" s="42" t="s">
        <v>47</v>
      </c>
      <c r="B11" s="42"/>
      <c r="C11" s="42" t="s">
        <v>48</v>
      </c>
      <c r="D11" s="42"/>
      <c r="E11" s="43" t="s">
        <v>49</v>
      </c>
      <c r="F11" s="43"/>
    </row>
    <row r="12" customFormat="false" ht="37.5" hidden="false" customHeight="true" outlineLevel="0" collapsed="false">
      <c r="A12" s="44" t="n">
        <f aca="false">COUNTIF('Factures Clients'!K7:K36,"⚠️ Retard")+COUNTIF('Factures Clients'!K7:K36,"🚨 Critique")</f>
        <v>0</v>
      </c>
      <c r="B12" s="44"/>
      <c r="C12" s="45" t="n">
        <f aca="false">SUMIF('Factures Clients'!K7:K36,"⚠️ Retard",'Factures Clients'!G7:G36)+SUMIF('Factures Clients'!K7:K36,"🚨 Critique",'Factures Clients'!G7:G36)</f>
        <v>0</v>
      </c>
      <c r="D12" s="45"/>
      <c r="E12" s="46" t="n">
        <f aca="false">Config!$B$12</f>
        <v>45</v>
      </c>
      <c r="F12" s="46"/>
    </row>
    <row r="13" customFormat="false" ht="18" hidden="false" customHeight="true" outlineLevel="0" collapsed="false">
      <c r="A13" s="47" t="s">
        <v>50</v>
      </c>
      <c r="B13" s="47"/>
      <c r="C13" s="47" t="s">
        <v>51</v>
      </c>
      <c r="D13" s="47"/>
      <c r="E13" s="48" t="s">
        <v>52</v>
      </c>
      <c r="F13" s="48"/>
    </row>
    <row r="14" customFormat="false" ht="9.75" hidden="false" customHeight="true" outlineLevel="0" collapsed="false">
      <c r="A14" s="49"/>
      <c r="B14" s="49"/>
      <c r="C14" s="49"/>
      <c r="D14" s="49"/>
      <c r="E14" s="50"/>
      <c r="F14" s="50"/>
    </row>
    <row r="16" customFormat="false" ht="15" hidden="false" customHeight="true" outlineLevel="0" collapsed="false">
      <c r="A16" s="5" t="s">
        <v>53</v>
      </c>
      <c r="B16" s="5"/>
      <c r="C16" s="5"/>
      <c r="D16" s="5"/>
      <c r="E16" s="5"/>
      <c r="F16" s="5"/>
      <c r="G16" s="5"/>
    </row>
    <row r="17" customFormat="false" ht="21.75" hidden="false" customHeight="true" outlineLevel="0" collapsed="false">
      <c r="A17" s="51" t="s">
        <v>35</v>
      </c>
      <c r="B17" s="14" t="s">
        <v>54</v>
      </c>
      <c r="C17" s="14" t="s">
        <v>31</v>
      </c>
      <c r="D17" s="14" t="s">
        <v>55</v>
      </c>
      <c r="E17" s="2"/>
      <c r="F17" s="2"/>
      <c r="G17" s="2"/>
    </row>
    <row r="18" customFormat="false" ht="21.75" hidden="false" customHeight="true" outlineLevel="0" collapsed="false">
      <c r="A18" s="52" t="s">
        <v>56</v>
      </c>
      <c r="B18" s="53" t="n">
        <f aca="false">COUNTIF('Factures Clients'!K7:K36,"✅ Payé")</f>
        <v>0</v>
      </c>
      <c r="C18" s="54" t="n">
        <f aca="false">SUMIF('Factures Clients'!K7:K36,"✅ Payé",'Factures Clients'!G7:G36)</f>
        <v>0</v>
      </c>
      <c r="D18" s="55" t="n">
        <f aca="false">IF('Factures Clients'!$G$37&gt;0,SUMIF('Factures Clients'!$K$7:$K$36,"✅ Payé",'Factures Clients'!$G$7:$G$36)/'Factures Clients'!$G$37,0)</f>
        <v>0</v>
      </c>
      <c r="E18" s="56"/>
      <c r="F18" s="56"/>
      <c r="G18" s="56"/>
    </row>
    <row r="19" customFormat="false" ht="21.75" hidden="false" customHeight="true" outlineLevel="0" collapsed="false">
      <c r="A19" s="57" t="s">
        <v>57</v>
      </c>
      <c r="B19" s="58" t="n">
        <f aca="false">COUNTIF('Factures Clients'!K7:K36,"⚠️ Payé partiel")</f>
        <v>0</v>
      </c>
      <c r="C19" s="59" t="n">
        <f aca="false">SUMIF('Factures Clients'!K7:K36,"⚠️ Payé partiel",'Factures Clients'!G7:G36)</f>
        <v>0</v>
      </c>
      <c r="D19" s="60" t="n">
        <f aca="false">IF('Factures Clients'!$G$37&gt;0,SUMIF('Factures Clients'!$K$7:$K$36,"⚠️ Payé partiel",'Factures Clients'!$G$7:$G$36)/'Factures Clients'!$G$37,0)</f>
        <v>0</v>
      </c>
      <c r="E19" s="61"/>
      <c r="F19" s="61"/>
      <c r="G19" s="61"/>
    </row>
    <row r="20" customFormat="false" ht="21.75" hidden="false" customHeight="true" outlineLevel="0" collapsed="false">
      <c r="A20" s="62" t="s">
        <v>58</v>
      </c>
      <c r="B20" s="63" t="n">
        <f aca="false">COUNTIF('Factures Clients'!K7:K36,"⏳ Non échu")</f>
        <v>0</v>
      </c>
      <c r="C20" s="64" t="n">
        <f aca="false">SUMIF('Factures Clients'!K7:K36,"⏳ Non échu",'Factures Clients'!G7:G36)</f>
        <v>0</v>
      </c>
      <c r="D20" s="65" t="n">
        <f aca="false">IF('Factures Clients'!$G$37&gt;0,SUMIF('Factures Clients'!$K$7:$K$36,"⏳ Non échu",'Factures Clients'!$G$7:$G$36)/'Factures Clients'!$G$37,0)</f>
        <v>0</v>
      </c>
      <c r="E20" s="66"/>
      <c r="F20" s="66"/>
      <c r="G20" s="66"/>
    </row>
    <row r="21" customFormat="false" ht="21.75" hidden="false" customHeight="true" outlineLevel="0" collapsed="false">
      <c r="A21" s="57" t="s">
        <v>59</v>
      </c>
      <c r="B21" s="58" t="n">
        <f aca="false">COUNTIF('Factures Clients'!K7:K36,"⏰ En attente")</f>
        <v>0</v>
      </c>
      <c r="C21" s="59" t="n">
        <f aca="false">SUMIF('Factures Clients'!K7:K36,"⏰ En attente",'Factures Clients'!G7:G36)</f>
        <v>0</v>
      </c>
      <c r="D21" s="60" t="n">
        <f aca="false">IF('Factures Clients'!$G$37&gt;0,SUMIF('Factures Clients'!$K$7:$K$36,"⏰ En attente",'Factures Clients'!$G$7:$G$36)/'Factures Clients'!$G$37,0)</f>
        <v>0</v>
      </c>
      <c r="E21" s="61"/>
      <c r="F21" s="61"/>
      <c r="G21" s="61"/>
    </row>
    <row r="22" customFormat="false" ht="21.75" hidden="false" customHeight="true" outlineLevel="0" collapsed="false">
      <c r="A22" s="67" t="s">
        <v>60</v>
      </c>
      <c r="B22" s="68" t="n">
        <f aca="false">COUNTIF('Factures Clients'!K7:K36,"⚠️ Retard")</f>
        <v>0</v>
      </c>
      <c r="C22" s="69" t="n">
        <f aca="false">SUMIF('Factures Clients'!K7:K36,"⚠️ Retard",'Factures Clients'!G7:G36)</f>
        <v>0</v>
      </c>
      <c r="D22" s="70" t="n">
        <f aca="false">IF('Factures Clients'!$G$37&gt;0,SUMIF('Factures Clients'!$K$7:$K$36,"⚠️ Retard",'Factures Clients'!$G$7:$G$36)/'Factures Clients'!$G$37,0)</f>
        <v>0</v>
      </c>
      <c r="E22" s="71"/>
      <c r="F22" s="71"/>
      <c r="G22" s="71"/>
    </row>
    <row r="23" customFormat="false" ht="21.75" hidden="false" customHeight="true" outlineLevel="0" collapsed="false">
      <c r="A23" s="72" t="s">
        <v>61</v>
      </c>
      <c r="B23" s="73" t="n">
        <f aca="false">COUNTIF('Factures Clients'!K7:K36,"🚨 Critique")</f>
        <v>0</v>
      </c>
      <c r="C23" s="74" t="n">
        <f aca="false">SUMIF('Factures Clients'!K7:K36,"🚨 Critique",'Factures Clients'!G7:G36)</f>
        <v>0</v>
      </c>
      <c r="D23" s="75" t="n">
        <f aca="false">IF('Factures Clients'!$G$37&gt;0,SUMIF('Factures Clients'!$K$7:$K$36,"🚨 Critique",'Factures Clients'!$G$7:$G$36)/'Factures Clients'!$G$37,0)</f>
        <v>0</v>
      </c>
      <c r="E23" s="76"/>
      <c r="F23" s="76"/>
      <c r="G23" s="76"/>
    </row>
    <row r="25" customFormat="false" ht="18" hidden="false" customHeight="true" outlineLevel="0" collapsed="false">
      <c r="A25" s="12" t="s">
        <v>62</v>
      </c>
      <c r="B25" s="12"/>
      <c r="C25" s="12"/>
      <c r="D25" s="12"/>
      <c r="E25" s="12"/>
      <c r="F25" s="12"/>
      <c r="G25" s="12"/>
    </row>
    <row r="26" customFormat="false" ht="18" hidden="false" customHeight="true" outlineLevel="0" collapsed="false">
      <c r="A26" s="12"/>
      <c r="B26" s="12"/>
      <c r="C26" s="12"/>
      <c r="D26" s="12"/>
      <c r="E26" s="12"/>
      <c r="F26" s="12"/>
      <c r="G26" s="12"/>
    </row>
    <row r="27" customFormat="false" ht="18" hidden="false" customHeight="true" outlineLevel="0" collapsed="false">
      <c r="A27" s="12"/>
      <c r="B27" s="12"/>
      <c r="C27" s="12"/>
      <c r="D27" s="12"/>
      <c r="E27" s="12"/>
      <c r="F27" s="12"/>
      <c r="G27" s="12"/>
    </row>
    <row r="28" customFormat="false" ht="18" hidden="false" customHeight="true" outlineLevel="0" collapsed="false">
      <c r="A28" s="12"/>
      <c r="B28" s="12"/>
      <c r="C28" s="12"/>
      <c r="D28" s="12"/>
      <c r="E28" s="12"/>
      <c r="F28" s="12"/>
      <c r="G28" s="12"/>
    </row>
    <row r="29" customFormat="false" ht="18" hidden="false" customHeight="true" outlineLevel="0" collapsed="false">
      <c r="A29" s="12"/>
      <c r="B29" s="12"/>
      <c r="C29" s="12"/>
      <c r="D29" s="12"/>
      <c r="E29" s="12"/>
      <c r="F29" s="12"/>
      <c r="G29" s="12"/>
    </row>
  </sheetData>
  <mergeCells count="28">
    <mergeCell ref="A2:G2"/>
    <mergeCell ref="A5:G5"/>
    <mergeCell ref="A6:B6"/>
    <mergeCell ref="C6:D6"/>
    <mergeCell ref="E6:F6"/>
    <mergeCell ref="A7:B7"/>
    <mergeCell ref="C7:D7"/>
    <mergeCell ref="E7:F7"/>
    <mergeCell ref="A8:B8"/>
    <mergeCell ref="C8:D8"/>
    <mergeCell ref="E8:F8"/>
    <mergeCell ref="A9:B9"/>
    <mergeCell ref="C9:D9"/>
    <mergeCell ref="E9:F9"/>
    <mergeCell ref="A11:B11"/>
    <mergeCell ref="C11:D11"/>
    <mergeCell ref="E11:F11"/>
    <mergeCell ref="A12:B12"/>
    <mergeCell ref="C12:D12"/>
    <mergeCell ref="E12:F12"/>
    <mergeCell ref="A13:B13"/>
    <mergeCell ref="C13:D13"/>
    <mergeCell ref="E13:F13"/>
    <mergeCell ref="A14:B14"/>
    <mergeCell ref="C14:D14"/>
    <mergeCell ref="E14:F14"/>
    <mergeCell ref="A16:G16"/>
    <mergeCell ref="A25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15"/>
    <col collapsed="false" customWidth="true" hidden="false" outlineLevel="0" max="6" min="4" style="1" width="14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6"/>
  </cols>
  <sheetData>
    <row r="1" customFormat="false" ht="15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</row>
    <row r="2" customFormat="false" ht="39.75" hidden="false" customHeight="true" outlineLevel="0" collapsed="false">
      <c r="A2" s="13" t="s">
        <v>63</v>
      </c>
      <c r="B2" s="13"/>
      <c r="C2" s="13"/>
      <c r="D2" s="13"/>
      <c r="E2" s="13"/>
      <c r="F2" s="13"/>
      <c r="G2" s="13"/>
      <c r="H2" s="13"/>
      <c r="I2" s="13"/>
    </row>
    <row r="3" customFormat="false" ht="15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</row>
    <row r="5" customFormat="false" ht="36" hidden="false" customHeight="true" outlineLevel="0" collapsed="false">
      <c r="A5" s="14" t="s">
        <v>25</v>
      </c>
      <c r="B5" s="14" t="s">
        <v>26</v>
      </c>
      <c r="C5" s="14" t="s">
        <v>28</v>
      </c>
      <c r="D5" s="14" t="s">
        <v>31</v>
      </c>
      <c r="E5" s="14" t="s">
        <v>64</v>
      </c>
      <c r="F5" s="14" t="s">
        <v>65</v>
      </c>
      <c r="G5" s="14" t="s">
        <v>66</v>
      </c>
      <c r="H5" s="14" t="s">
        <v>67</v>
      </c>
      <c r="I5" s="14" t="s">
        <v>68</v>
      </c>
    </row>
    <row r="6" customFormat="false" ht="15.75" hidden="false" customHeight="true" outlineLevel="0" collapsed="false">
      <c r="A6" s="15" t="s">
        <v>69</v>
      </c>
      <c r="B6" s="15"/>
      <c r="C6" s="15"/>
      <c r="D6" s="15"/>
      <c r="E6" s="15"/>
      <c r="F6" s="15"/>
      <c r="G6" s="15"/>
      <c r="H6" s="15"/>
      <c r="I6" s="15"/>
    </row>
    <row r="7" customFormat="false" ht="19.5" hidden="false" customHeight="true" outlineLevel="0" collapsed="false">
      <c r="A7" s="16" t="n">
        <v>1</v>
      </c>
      <c r="B7" s="17"/>
      <c r="C7" s="17"/>
      <c r="D7" s="20"/>
      <c r="E7" s="77"/>
      <c r="F7" s="18"/>
      <c r="G7" s="17"/>
      <c r="H7" s="17"/>
      <c r="I7" s="18"/>
    </row>
    <row r="8" customFormat="false" ht="19.5" hidden="false" customHeight="true" outlineLevel="0" collapsed="false">
      <c r="A8" s="23" t="n">
        <v>2</v>
      </c>
      <c r="B8" s="17"/>
      <c r="C8" s="17"/>
      <c r="D8" s="20"/>
      <c r="E8" s="77"/>
      <c r="F8" s="18"/>
      <c r="G8" s="17"/>
      <c r="H8" s="17"/>
      <c r="I8" s="18"/>
    </row>
    <row r="9" customFormat="false" ht="19.5" hidden="false" customHeight="true" outlineLevel="0" collapsed="false">
      <c r="A9" s="16" t="n">
        <v>3</v>
      </c>
      <c r="B9" s="17"/>
      <c r="C9" s="17"/>
      <c r="D9" s="20"/>
      <c r="E9" s="77"/>
      <c r="F9" s="18"/>
      <c r="G9" s="17"/>
      <c r="H9" s="17"/>
      <c r="I9" s="18"/>
    </row>
    <row r="10" customFormat="false" ht="19.5" hidden="false" customHeight="true" outlineLevel="0" collapsed="false">
      <c r="A10" s="23" t="n">
        <v>4</v>
      </c>
      <c r="B10" s="17"/>
      <c r="C10" s="17"/>
      <c r="D10" s="20"/>
      <c r="E10" s="77"/>
      <c r="F10" s="18"/>
      <c r="G10" s="17"/>
      <c r="H10" s="17"/>
      <c r="I10" s="18"/>
    </row>
    <row r="11" customFormat="false" ht="19.5" hidden="false" customHeight="true" outlineLevel="0" collapsed="false">
      <c r="A11" s="16" t="n">
        <v>5</v>
      </c>
      <c r="B11" s="17"/>
      <c r="C11" s="17"/>
      <c r="D11" s="20"/>
      <c r="E11" s="77"/>
      <c r="F11" s="18"/>
      <c r="G11" s="17"/>
      <c r="H11" s="17"/>
      <c r="I11" s="18"/>
    </row>
    <row r="12" customFormat="false" ht="19.5" hidden="false" customHeight="true" outlineLevel="0" collapsed="false">
      <c r="A12" s="23" t="n">
        <v>6</v>
      </c>
      <c r="B12" s="17"/>
      <c r="C12" s="17"/>
      <c r="D12" s="20"/>
      <c r="E12" s="77"/>
      <c r="F12" s="18"/>
      <c r="G12" s="17"/>
      <c r="H12" s="17"/>
      <c r="I12" s="18"/>
    </row>
    <row r="13" customFormat="false" ht="19.5" hidden="false" customHeight="true" outlineLevel="0" collapsed="false">
      <c r="A13" s="16" t="n">
        <v>7</v>
      </c>
      <c r="B13" s="17"/>
      <c r="C13" s="17"/>
      <c r="D13" s="20"/>
      <c r="E13" s="77"/>
      <c r="F13" s="18"/>
      <c r="G13" s="17"/>
      <c r="H13" s="17"/>
      <c r="I13" s="18"/>
    </row>
    <row r="14" customFormat="false" ht="19.5" hidden="false" customHeight="true" outlineLevel="0" collapsed="false">
      <c r="A14" s="23" t="n">
        <v>8</v>
      </c>
      <c r="B14" s="17"/>
      <c r="C14" s="17"/>
      <c r="D14" s="20"/>
      <c r="E14" s="77"/>
      <c r="F14" s="18"/>
      <c r="G14" s="17"/>
      <c r="H14" s="17"/>
      <c r="I14" s="18"/>
    </row>
    <row r="15" customFormat="false" ht="19.5" hidden="false" customHeight="true" outlineLevel="0" collapsed="false">
      <c r="A15" s="16" t="n">
        <v>9</v>
      </c>
      <c r="B15" s="17"/>
      <c r="C15" s="17"/>
      <c r="D15" s="20"/>
      <c r="E15" s="77"/>
      <c r="F15" s="18"/>
      <c r="G15" s="17"/>
      <c r="H15" s="17"/>
      <c r="I15" s="18"/>
    </row>
    <row r="16" customFormat="false" ht="19.5" hidden="false" customHeight="true" outlineLevel="0" collapsed="false">
      <c r="A16" s="23" t="n">
        <v>10</v>
      </c>
      <c r="B16" s="17"/>
      <c r="C16" s="17"/>
      <c r="D16" s="20"/>
      <c r="E16" s="77"/>
      <c r="F16" s="18"/>
      <c r="G16" s="17"/>
      <c r="H16" s="17"/>
      <c r="I16" s="18"/>
    </row>
    <row r="17" customFormat="false" ht="19.5" hidden="false" customHeight="true" outlineLevel="0" collapsed="false">
      <c r="A17" s="16" t="n">
        <v>11</v>
      </c>
      <c r="B17" s="17"/>
      <c r="C17" s="17"/>
      <c r="D17" s="20"/>
      <c r="E17" s="77"/>
      <c r="F17" s="18"/>
      <c r="G17" s="17"/>
      <c r="H17" s="17"/>
      <c r="I17" s="18"/>
    </row>
    <row r="18" customFormat="false" ht="19.5" hidden="false" customHeight="true" outlineLevel="0" collapsed="false">
      <c r="A18" s="23" t="n">
        <v>12</v>
      </c>
      <c r="B18" s="17"/>
      <c r="C18" s="17"/>
      <c r="D18" s="20"/>
      <c r="E18" s="77"/>
      <c r="F18" s="18"/>
      <c r="G18" s="17"/>
      <c r="H18" s="17"/>
      <c r="I18" s="18"/>
    </row>
    <row r="19" customFormat="false" ht="19.5" hidden="false" customHeight="true" outlineLevel="0" collapsed="false">
      <c r="A19" s="16" t="n">
        <v>13</v>
      </c>
      <c r="B19" s="17"/>
      <c r="C19" s="17"/>
      <c r="D19" s="20"/>
      <c r="E19" s="77"/>
      <c r="F19" s="18"/>
      <c r="G19" s="17"/>
      <c r="H19" s="17"/>
      <c r="I19" s="18"/>
    </row>
    <row r="20" customFormat="false" ht="19.5" hidden="false" customHeight="true" outlineLevel="0" collapsed="false">
      <c r="A20" s="23" t="n">
        <v>14</v>
      </c>
      <c r="B20" s="17"/>
      <c r="C20" s="17"/>
      <c r="D20" s="20"/>
      <c r="E20" s="77"/>
      <c r="F20" s="18"/>
      <c r="G20" s="17"/>
      <c r="H20" s="17"/>
      <c r="I20" s="18"/>
    </row>
    <row r="21" customFormat="false" ht="19.5" hidden="false" customHeight="true" outlineLevel="0" collapsed="false">
      <c r="A21" s="16" t="n">
        <v>15</v>
      </c>
      <c r="B21" s="17"/>
      <c r="C21" s="17"/>
      <c r="D21" s="20"/>
      <c r="E21" s="77"/>
      <c r="F21" s="18"/>
      <c r="G21" s="17"/>
      <c r="H21" s="17"/>
      <c r="I21" s="18"/>
    </row>
    <row r="22" customFormat="false" ht="19.5" hidden="false" customHeight="true" outlineLevel="0" collapsed="false">
      <c r="A22" s="23" t="n">
        <v>16</v>
      </c>
      <c r="B22" s="17"/>
      <c r="C22" s="17"/>
      <c r="D22" s="20"/>
      <c r="E22" s="77"/>
      <c r="F22" s="18"/>
      <c r="G22" s="17"/>
      <c r="H22" s="17"/>
      <c r="I22" s="18"/>
    </row>
    <row r="23" customFormat="false" ht="19.5" hidden="false" customHeight="true" outlineLevel="0" collapsed="false">
      <c r="A23" s="16" t="n">
        <v>17</v>
      </c>
      <c r="B23" s="17"/>
      <c r="C23" s="17"/>
      <c r="D23" s="20"/>
      <c r="E23" s="77"/>
      <c r="F23" s="18"/>
      <c r="G23" s="17"/>
      <c r="H23" s="17"/>
      <c r="I23" s="18"/>
    </row>
    <row r="24" customFormat="false" ht="19.5" hidden="false" customHeight="true" outlineLevel="0" collapsed="false">
      <c r="A24" s="23" t="n">
        <v>18</v>
      </c>
      <c r="B24" s="17"/>
      <c r="C24" s="17"/>
      <c r="D24" s="20"/>
      <c r="E24" s="77"/>
      <c r="F24" s="18"/>
      <c r="G24" s="17"/>
      <c r="H24" s="17"/>
      <c r="I24" s="18"/>
    </row>
    <row r="25" customFormat="false" ht="19.5" hidden="false" customHeight="true" outlineLevel="0" collapsed="false">
      <c r="A25" s="16" t="n">
        <v>19</v>
      </c>
      <c r="B25" s="17"/>
      <c r="C25" s="17"/>
      <c r="D25" s="20"/>
      <c r="E25" s="77"/>
      <c r="F25" s="18"/>
      <c r="G25" s="17"/>
      <c r="H25" s="17"/>
      <c r="I25" s="18"/>
    </row>
    <row r="26" customFormat="false" ht="19.5" hidden="false" customHeight="true" outlineLevel="0" collapsed="false">
      <c r="A26" s="23" t="n">
        <v>20</v>
      </c>
      <c r="B26" s="17"/>
      <c r="C26" s="17"/>
      <c r="D26" s="20"/>
      <c r="E26" s="77"/>
      <c r="F26" s="18"/>
      <c r="G26" s="17"/>
      <c r="H26" s="17"/>
      <c r="I26" s="18"/>
    </row>
  </sheetData>
  <mergeCells count="2">
    <mergeCell ref="A2:I2"/>
    <mergeCell ref="A6:I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2026-05-10T14:49:50Z</dcterms:created>
  <dc:creator>openpyxl</dc:creator>
  <dc:description/>
  <dc:language>en-US</dc:language>
  <cp:lastModifiedBy/>
  <dcterms:modified xsi:type="dcterms:W3CDTF">2026-05-10T14:50:15Z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