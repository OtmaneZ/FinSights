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ypothèses" sheetId="2" state="visible" r:id="rId4"/>
    <sheet name="Budget P&amp;L" sheetId="3" state="visible" r:id="rId5"/>
    <sheet name="Trésoreri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<sst xmlns="http://schemas.openxmlformats.org/spreadsheetml/2006/main" count="137" uniqueCount="122">
  <si>
    <t xml:space="preserve">DASHBOARD FINANCIER 2026 — VUE SYNTHÈSE</t>
  </si>
  <si>
    <t xml:space="preserve">KPIs ANNUELS CLÉS — BUDGET 2026</t>
  </si>
  <si>
    <t xml:space="preserve">CA PRÉVISIONNEL</t>
  </si>
  <si>
    <t xml:space="preserve">MARGE BRUTE</t>
  </si>
  <si>
    <t xml:space="preserve">EBITDA</t>
  </si>
  <si>
    <t xml:space="preserve">RÉSULTAT NET</t>
  </si>
  <si>
    <t xml:space="preserve">Total annuel HT</t>
  </si>
  <si>
    <t xml:space="preserve">Après coût des ventes</t>
  </si>
  <si>
    <t xml:space="preserve">Avant amort. &amp; IS</t>
  </si>
  <si>
    <t xml:space="preserve">Après IS</t>
  </si>
  <si>
    <t xml:space="preserve">TAUX MARGE BRUTE</t>
  </si>
  <si>
    <t xml:space="preserve">TAUX EBITDA</t>
  </si>
  <si>
    <t xml:space="preserve">TRÉSO. FIN DÉC.</t>
  </si>
  <si>
    <t xml:space="preserve">DSO CIBLE</t>
  </si>
  <si>
    <t xml:space="preserve">Cible : Hypothèses!B18</t>
  </si>
  <si>
    <t xml:space="preserve">Cible : Hypothèses!B22</t>
  </si>
  <si>
    <t xml:space="preserve">Solde prévisionnel</t>
  </si>
  <si>
    <t xml:space="preserve">Jours de délai client</t>
  </si>
  <si>
    <t xml:space="preserve">📌  GUIDE D'UTILISATION
1. Commencez par l'onglet 'Hypothèses' : renseignez les cellules jaunes.
2. Consultez 'Budget P&amp;L' pour le compte de résultat mensuel.
3. Consultez 'Trésorerie' pour le prévisionnel de cash.
4. Ce Dashboard se met à jour automatiquement.
💡  Produit par FinSight — finsight.zineinsight.com</t>
  </si>
  <si>
    <t xml:space="preserve">BUDGET PRÉVISIONNEL 2026 — HYPOTHÈSES</t>
  </si>
  <si>
    <t xml:space="preserve">FinSight · Outil de pilotage financier PME · finsight.zineinsight.com</t>
  </si>
  <si>
    <t xml:space="preserve">🏢  INFORMATIONS ENTREPRISE</t>
  </si>
  <si>
    <t xml:space="preserve">Nom de l'entreprise</t>
  </si>
  <si>
    <t xml:space="preserve">Ma PME SAS</t>
  </si>
  <si>
    <t xml:space="preserve">Personnalisez ce champ</t>
  </si>
  <si>
    <t xml:space="preserve">Secteur d'activité</t>
  </si>
  <si>
    <t xml:space="preserve">Services</t>
  </si>
  <si>
    <t xml:space="preserve">Services / Commerce / Industrie / SaaS</t>
  </si>
  <si>
    <t xml:space="preserve">Exercice fiscal</t>
  </si>
  <si>
    <t xml:space="preserve">01/01/2026</t>
  </si>
  <si>
    <t xml:space="preserve">Début d'exercice</t>
  </si>
  <si>
    <t xml:space="preserve">Monnaie</t>
  </si>
  <si>
    <t xml:space="preserve">EUR (€)</t>
  </si>
  <si>
    <t xml:space="preserve">📈  HYPOTHÈSES DE CHIFFRE D'AFFAIRES</t>
  </si>
  <si>
    <t xml:space="preserve">CA annuel 2025 (réalisé)</t>
  </si>
  <si>
    <t xml:space="preserve">Base de référence N-1</t>
  </si>
  <si>
    <t xml:space="preserve">Taux de croissance 2026</t>
  </si>
  <si>
    <t xml:space="preserve">Ex : 12 % = 0.12</t>
  </si>
  <si>
    <t xml:space="preserve">CA cible 2026</t>
  </si>
  <si>
    <t xml:space="preserve">Calculé automatiquement</t>
  </si>
  <si>
    <t xml:space="preserve">Saisonnalité</t>
  </si>
  <si>
    <t xml:space="preserve">Uniforme</t>
  </si>
  <si>
    <t xml:space="preserve">Uniforme / Personnalisée (voir onglet Budget)</t>
  </si>
  <si>
    <t xml:space="preserve">💰  HYPOTHÈSES DE MARGES</t>
  </si>
  <si>
    <t xml:space="preserve">Taux de marge brute cible</t>
  </si>
  <si>
    <t xml:space="preserve">CA − Achats / CA</t>
  </si>
  <si>
    <t xml:space="preserve">Taux de charges fixes / CA</t>
  </si>
  <si>
    <t xml:space="preserve">Loyer, salaires, assurances…</t>
  </si>
  <si>
    <t xml:space="preserve">Taux de charges variables</t>
  </si>
  <si>
    <t xml:space="preserve">Commissions, transports, emballages…</t>
  </si>
  <si>
    <t xml:space="preserve">Taux d'EBITDA cible</t>
  </si>
  <si>
    <t xml:space="preserve">Calculé : Marge − CF − CV</t>
  </si>
  <si>
    <t xml:space="preserve">🏦  HYPOTHÈSES DE TRÉSORERIE</t>
  </si>
  <si>
    <t xml:space="preserve">DSO cible (jours clients)</t>
  </si>
  <si>
    <t xml:space="preserve">Délai moyen d'encaissement</t>
  </si>
  <si>
    <t xml:space="preserve">DPO cible (jours fourniss.)</t>
  </si>
  <si>
    <t xml:space="preserve">Délai moyen de paiement</t>
  </si>
  <si>
    <t xml:space="preserve">Solde trésorerie 01/01/2026</t>
  </si>
  <si>
    <t xml:space="preserve">Trésorerie d'ouverture</t>
  </si>
  <si>
    <t xml:space="preserve">Réserve de sécurité minimum</t>
  </si>
  <si>
    <t xml:space="preserve">Alerte si solde &lt; ce montant</t>
  </si>
  <si>
    <t xml:space="preserve">📊  HYPOTHÈSES DE CHARGES</t>
  </si>
  <si>
    <t xml:space="preserve">Masse salariale annuelle</t>
  </si>
  <si>
    <t xml:space="preserve">Salaires + charges patronales</t>
  </si>
  <si>
    <t xml:space="preserve">Loyer annuel</t>
  </si>
  <si>
    <t xml:space="preserve">Dotations aux amortissements</t>
  </si>
  <si>
    <t xml:space="preserve">Autres charges fixes</t>
  </si>
  <si>
    <t xml:space="preserve">Assurances, abonnements, honoraires…</t>
  </si>
  <si>
    <t xml:space="preserve">Taux IS (impôt sociétés)</t>
  </si>
  <si>
    <t xml:space="preserve">25 % taux normal 2026</t>
  </si>
  <si>
    <t xml:space="preserve">⚡  Les cellules en jaune pâle sont les INPUTS à modifier. Toutes les autres cellules sont calculées automatiquement. Source : FinSight — finsight.zineinsight.com</t>
  </si>
  <si>
    <t xml:space="preserve">COMPTE DE RÉSULTAT PRÉVISIONNEL 2026 — MENSUEL</t>
  </si>
  <si>
    <t xml:space="preserve">RUBRIQUE</t>
  </si>
  <si>
    <t xml:space="preserve">Jan</t>
  </si>
  <si>
    <t xml:space="preserve">Fév</t>
  </si>
  <si>
    <t xml:space="preserve">Mar</t>
  </si>
  <si>
    <t xml:space="preserve">Avr</t>
  </si>
  <si>
    <t xml:space="preserve">Mai</t>
  </si>
  <si>
    <t xml:space="preserve">Jun</t>
  </si>
  <si>
    <t xml:space="preserve">Jul</t>
  </si>
  <si>
    <t xml:space="preserve">Aoû</t>
  </si>
  <si>
    <t xml:space="preserve">Sep</t>
  </si>
  <si>
    <t xml:space="preserve">Oct</t>
  </si>
  <si>
    <t xml:space="preserve">Nov</t>
  </si>
  <si>
    <t xml:space="preserve">Déc</t>
  </si>
  <si>
    <t xml:space="preserve">TOTAL</t>
  </si>
  <si>
    <t xml:space="preserve">→  Hypothèses modifiables dans l'onglet 'Hypothèses'</t>
  </si>
  <si>
    <t xml:space="preserve">  CHIFFRE D'AFFAIRES</t>
  </si>
  <si>
    <t xml:space="preserve">Chiffre d'affaires HT</t>
  </si>
  <si>
    <t xml:space="preserve">  COÛT DES VENTES &amp; MARGE BRUTE</t>
  </si>
  <si>
    <t xml:space="preserve">(-) Achats &amp; coût des marchandises</t>
  </si>
  <si>
    <t xml:space="preserve">▶ MARGE BRUTE</t>
  </si>
  <si>
    <t xml:space="preserve">  Taux de marge brute</t>
  </si>
  <si>
    <t xml:space="preserve">  CHARGES D'EXPLOITATION</t>
  </si>
  <si>
    <t xml:space="preserve">(-) Masse salariale</t>
  </si>
  <si>
    <t xml:space="preserve">(-) Loyer &amp; charges locatives</t>
  </si>
  <si>
    <t xml:space="preserve">(-) Charges variables (commissions…)</t>
  </si>
  <si>
    <t xml:space="preserve">(-) Autres charges fixes</t>
  </si>
  <si>
    <t xml:space="preserve">▶ EBITDA</t>
  </si>
  <si>
    <t xml:space="preserve">  Taux d'EBITDA</t>
  </si>
  <si>
    <t xml:space="preserve">(-) Dotations aux amortissements</t>
  </si>
  <si>
    <t xml:space="preserve">▶ EBIT (Résultat opérationnel)</t>
  </si>
  <si>
    <t xml:space="preserve">(-) Impôt sur les sociétés (25 %)</t>
  </si>
  <si>
    <t xml:space="preserve">▶ RÉSULTAT NET</t>
  </si>
  <si>
    <t xml:space="preserve">  Taux de marge nette</t>
  </si>
  <si>
    <t xml:space="preserve">PRÉVISIONNEL DE TRÉSORERIE 2026 — MENSUEL</t>
  </si>
  <si>
    <t xml:space="preserve">  SOLDE DE TRÉSORERIE</t>
  </si>
  <si>
    <t xml:space="preserve">Solde trésorerie en début de mois</t>
  </si>
  <si>
    <t xml:space="preserve">  ENCAISSEMENTS</t>
  </si>
  <si>
    <t xml:space="preserve">Encaissements clients (CA HT)</t>
  </si>
  <si>
    <t xml:space="preserve">Autres encaissements (subventions, cessions…)</t>
  </si>
  <si>
    <t xml:space="preserve">▶ TOTAL ENCAISSEMENTS</t>
  </si>
  <si>
    <t xml:space="preserve">  DÉCAISSEMENTS</t>
  </si>
  <si>
    <t xml:space="preserve">(-) Charges de personnel</t>
  </si>
  <si>
    <t xml:space="preserve">(-) Paiement fournisseurs</t>
  </si>
  <si>
    <t xml:space="preserve">(-) Acomptes IS (trimestriels)</t>
  </si>
  <si>
    <t xml:space="preserve">(-) Autres charges fixes décaissées</t>
  </si>
  <si>
    <t xml:space="preserve">(-) Investissements / CAPEX</t>
  </si>
  <si>
    <t xml:space="preserve">▶ TOTAL DÉCAISSEMENTS</t>
  </si>
  <si>
    <t xml:space="preserve">▶ FLUX NET DU MOIS</t>
  </si>
  <si>
    <t xml:space="preserve">▶ SOLDE EN FIN DE MOIS</t>
  </si>
  <si>
    <t xml:space="preserve">  Alerte seuil de sécurité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</si>
</sst>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;\(#,##0&quot; €)&quot;;\-"/>
    <numFmt numFmtId="166" formatCode="0.0%;\(0.0%\);\-"/>
    <numFmt numFmtId="167" formatCode="#,##0;\(#,##0\);\-"/>
    <numFmt numFmtId="168" formatCode="@"/>
    <numFmt numFmtId="169" formatCode="dd/mm/yy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8"/>
      <color rgb="FF9CA3A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8"/>
      <color rgb="FF1B2B4B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9CA3A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B2B4B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sz val="10"/>
      <color rgb="FF9CA3A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sz val="10"/>
      <color rgb="FFCC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B4B"/>
        <bgColor rgb="FF2D2D2D"/>
      </patternFill>
    </fill>
    <fill>
      <patternFill patternType="solid">
        <fgColor rgb="FFC9A84C"/>
        <bgColor rgb="FF9CA3AF"/>
      </patternFill>
    </fill>
    <fill>
      <patternFill patternType="solid">
        <fgColor rgb="FF155724"/>
        <bgColor rgb="FF333300"/>
      </patternFill>
    </fill>
    <fill>
      <patternFill patternType="solid">
        <fgColor rgb="FF0D6EFD"/>
        <bgColor rgb="FF3366FF"/>
      </patternFill>
    </fill>
    <fill>
      <patternFill patternType="solid">
        <fgColor rgb="FFF5F5F5"/>
        <bgColor rgb="FFE8F4FD"/>
      </patternFill>
    </fill>
    <fill>
      <patternFill patternType="solid">
        <fgColor rgb="FFFFF9E6"/>
        <bgColor rgb="FFFFF5D6"/>
      </patternFill>
    </fill>
    <fill>
      <patternFill patternType="solid">
        <fgColor rgb="FFFFFFFF"/>
        <bgColor rgb="FFFFF9E6"/>
      </patternFill>
    </fill>
    <fill>
      <patternFill patternType="solid">
        <fgColor rgb="FFE8F4FD"/>
        <bgColor rgb="FFF5F5F5"/>
      </patternFill>
    </fill>
    <fill>
      <patternFill patternType="solid">
        <fgColor rgb="FFFFF5D6"/>
        <bgColor rgb="FFFFF9E6"/>
      </patternFill>
    </fill>
    <fill>
      <patternFill patternType="solid">
        <fgColor rgb="FFD4EDDA"/>
        <bgColor rgb="FFDDDDDD"/>
      </patternFill>
    </fill>
    <fill>
      <patternFill patternType="solid">
        <fgColor rgb="FFF8D7DA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D6"/>
      <rgbColor rgb="FFE8F4FD"/>
      <rgbColor rgb="FF660066"/>
      <rgbColor rgb="FFFF8080"/>
      <rgbColor rgb="FF0D6EFD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FF9E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C9A84C"/>
      <rgbColor rgb="FFFF6600"/>
      <rgbColor rgb="FF666699"/>
      <rgbColor rgb="FF9CA3AF"/>
      <rgbColor rgb="FF1B2B4B"/>
      <rgbColor rgb="FF339966"/>
      <rgbColor rgb="FF155724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16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5" customFormat="false" ht="15" hidden="false" customHeight="true" outlineLevel="0" collapsed="false">
      <c r="A5" s="4" t="s">
        <v>1</v>
      </c>
      <c r="B5" s="4"/>
      <c r="C5" s="4"/>
      <c r="D5" s="4"/>
      <c r="E5" s="4"/>
      <c r="F5" s="4"/>
      <c r="G5" s="4"/>
      <c r="H5" s="4"/>
      <c r="I5" s="4"/>
    </row>
    <row r="6" customFormat="false" ht="13.5" hidden="false" customHeight="true" outlineLevel="0" collapsed="false">
      <c r="A6" s="5" t="s">
        <v>2</v>
      </c>
      <c r="B6" s="5"/>
      <c r="C6" s="6" t="s">
        <v>3</v>
      </c>
      <c r="D6" s="6"/>
      <c r="E6" s="7" t="s">
        <v>4</v>
      </c>
      <c r="F6" s="7"/>
      <c r="G6" s="8" t="s">
        <v>5</v>
      </c>
      <c r="H6" s="8"/>
    </row>
    <row r="7" customFormat="false" ht="36" hidden="false" customHeight="true" outlineLevel="0" collapsed="false">
      <c r="A7" s="9" t="n">
        <f aca="false">'Budget P&amp;L'!N8</f>
        <v>2240000</v>
      </c>
      <c r="B7" s="9"/>
      <c r="C7" s="10" t="n">
        <f aca="false">'Budget P&amp;L'!N11</f>
        <v>0</v>
      </c>
      <c r="D7" s="10"/>
      <c r="E7" s="11" t="n">
        <f aca="false">'Budget P&amp;L'!N18</f>
        <v>-728000</v>
      </c>
      <c r="F7" s="11"/>
      <c r="G7" s="12" t="n">
        <f aca="false">'Budget P&amp;L'!N23</f>
        <v>-764000</v>
      </c>
      <c r="H7" s="12"/>
    </row>
    <row r="8" customFormat="false" ht="19.5" hidden="false" customHeight="true" outlineLevel="0" collapsed="false">
      <c r="A8" s="13" t="s">
        <v>6</v>
      </c>
      <c r="B8" s="13"/>
      <c r="C8" s="14" t="s">
        <v>7</v>
      </c>
      <c r="D8" s="14"/>
      <c r="E8" s="15" t="s">
        <v>8</v>
      </c>
      <c r="F8" s="15"/>
      <c r="G8" s="16" t="s">
        <v>9</v>
      </c>
      <c r="H8" s="16"/>
    </row>
    <row r="9" customFormat="false" ht="13.5" hidden="false" customHeight="true" outlineLevel="0" collapsed="false">
      <c r="A9" s="17"/>
      <c r="B9" s="17"/>
      <c r="C9" s="18"/>
      <c r="D9" s="18"/>
      <c r="E9" s="19"/>
      <c r="F9" s="19"/>
      <c r="G9" s="20"/>
      <c r="H9" s="20"/>
    </row>
    <row r="11" customFormat="false" ht="13.5" hidden="false" customHeight="true" outlineLevel="0" collapsed="false">
      <c r="A11" s="21" t="s">
        <v>10</v>
      </c>
      <c r="B11" s="21"/>
      <c r="C11" s="21" t="s">
        <v>11</v>
      </c>
      <c r="D11" s="21"/>
      <c r="E11" s="21" t="s">
        <v>12</v>
      </c>
      <c r="F11" s="21"/>
      <c r="G11" s="21" t="s">
        <v>13</v>
      </c>
      <c r="H11" s="21"/>
    </row>
    <row r="12" customFormat="false" ht="36" hidden="false" customHeight="true" outlineLevel="0" collapsed="false">
      <c r="A12" s="22" t="n">
        <f aca="false">'Budget P&amp;L'!N12</f>
        <v>0</v>
      </c>
      <c r="B12" s="22"/>
      <c r="C12" s="22" t="n">
        <f aca="false">'Budget P&amp;L'!N19</f>
        <v>-0.325</v>
      </c>
      <c r="D12" s="22"/>
      <c r="E12" s="23" t="n">
        <f aca="false">Trésorerie!M21</f>
        <v>-503970</v>
      </c>
      <c r="F12" s="23"/>
      <c r="G12" s="24" t="n">
        <f aca="false">Hypothèses!B23</f>
        <v>0</v>
      </c>
      <c r="H12" s="24"/>
    </row>
    <row r="13" customFormat="false" ht="19.5" hidden="false" customHeight="true" outlineLevel="0" collapsed="false">
      <c r="A13" s="25" t="s">
        <v>14</v>
      </c>
      <c r="B13" s="25"/>
      <c r="C13" s="25" t="s">
        <v>15</v>
      </c>
      <c r="D13" s="25"/>
      <c r="E13" s="25" t="s">
        <v>16</v>
      </c>
      <c r="F13" s="25"/>
      <c r="G13" s="25" t="s">
        <v>17</v>
      </c>
      <c r="H13" s="25"/>
    </row>
    <row r="14" customFormat="false" ht="13.5" hidden="false" customHeight="true" outlineLevel="0" collapsed="false">
      <c r="A14" s="26"/>
      <c r="B14" s="26"/>
      <c r="C14" s="26"/>
      <c r="D14" s="26"/>
      <c r="E14" s="26"/>
      <c r="F14" s="26"/>
      <c r="G14" s="26"/>
      <c r="H14" s="26"/>
    </row>
    <row r="17" customFormat="false" ht="99.75" hidden="false" customHeight="true" outlineLevel="0" collapsed="false">
      <c r="A17" s="27" t="s">
        <v>18</v>
      </c>
      <c r="B17" s="27"/>
      <c r="C17" s="27"/>
      <c r="D17" s="27"/>
      <c r="E17" s="27"/>
      <c r="F17" s="27"/>
      <c r="G17" s="27"/>
      <c r="H17" s="27"/>
      <c r="I17" s="27"/>
    </row>
  </sheetData>
  <mergeCells count="35">
    <mergeCell ref="A2:I2"/>
    <mergeCell ref="A5:I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20"/>
    <col collapsed="false" customWidth="true" hidden="false" outlineLevel="0" max="4" min="4" style="1" width="28"/>
  </cols>
  <sheetData>
    <row r="1" customFormat="false" ht="13.5" hidden="false" customHeight="true" outlineLevel="0" collapsed="false">
      <c r="A1" s="2"/>
      <c r="B1" s="2"/>
      <c r="C1" s="2"/>
      <c r="D1" s="2"/>
    </row>
    <row r="2" customFormat="false" ht="39.75" hidden="false" customHeight="true" outlineLevel="0" collapsed="false">
      <c r="A2" s="28" t="s">
        <v>19</v>
      </c>
      <c r="B2" s="28"/>
      <c r="C2" s="28"/>
      <c r="D2" s="28"/>
    </row>
    <row r="3" customFormat="false" ht="13.5" hidden="false" customHeight="tru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29" t="s">
        <v>20</v>
      </c>
      <c r="B4" s="29"/>
      <c r="C4" s="29"/>
      <c r="D4" s="29"/>
    </row>
    <row r="6" customFormat="false" ht="21.75" hidden="false" customHeight="true" outlineLevel="0" collapsed="false">
      <c r="A6" s="30" t="s">
        <v>21</v>
      </c>
      <c r="B6" s="30"/>
      <c r="C6" s="30"/>
      <c r="D6" s="30"/>
    </row>
    <row r="7" customFormat="false" ht="19.5" hidden="false" customHeight="true" outlineLevel="0" collapsed="false">
      <c r="A7" s="31" t="s">
        <v>22</v>
      </c>
      <c r="B7" s="32" t="s">
        <v>23</v>
      </c>
      <c r="C7" s="33"/>
      <c r="D7" s="34" t="s">
        <v>24</v>
      </c>
    </row>
    <row r="8" customFormat="false" ht="19.5" hidden="false" customHeight="true" outlineLevel="0" collapsed="false">
      <c r="A8" s="35" t="s">
        <v>25</v>
      </c>
      <c r="B8" s="32" t="s">
        <v>26</v>
      </c>
      <c r="C8" s="36"/>
      <c r="D8" s="37" t="s">
        <v>27</v>
      </c>
    </row>
    <row r="9" customFormat="false" ht="19.5" hidden="false" customHeight="true" outlineLevel="0" collapsed="false">
      <c r="A9" s="31" t="s">
        <v>28</v>
      </c>
      <c r="B9" s="38" t="s">
        <v>29</v>
      </c>
      <c r="C9" s="33"/>
      <c r="D9" s="34" t="s">
        <v>30</v>
      </c>
    </row>
    <row r="10" customFormat="false" ht="19.5" hidden="false" customHeight="true" outlineLevel="0" collapsed="false">
      <c r="A10" s="35" t="s">
        <v>31</v>
      </c>
      <c r="B10" s="32" t="s">
        <v>32</v>
      </c>
      <c r="C10" s="36"/>
      <c r="D10" s="37"/>
    </row>
    <row r="12" customFormat="false" ht="21.75" hidden="false" customHeight="true" outlineLevel="0" collapsed="false">
      <c r="A12" s="30" t="s">
        <v>33</v>
      </c>
      <c r="B12" s="30"/>
      <c r="C12" s="30"/>
      <c r="D12" s="30"/>
    </row>
    <row r="13" customFormat="false" ht="19.5" hidden="false" customHeight="true" outlineLevel="0" collapsed="false">
      <c r="A13" s="31" t="s">
        <v>34</v>
      </c>
      <c r="B13" s="39" t="n">
        <v>2000000</v>
      </c>
      <c r="C13" s="33"/>
      <c r="D13" s="34" t="s">
        <v>35</v>
      </c>
    </row>
    <row r="14" customFormat="false" ht="19.5" hidden="false" customHeight="true" outlineLevel="0" collapsed="false">
      <c r="A14" s="35" t="s">
        <v>36</v>
      </c>
      <c r="B14" s="40" t="n">
        <v>0.12</v>
      </c>
      <c r="C14" s="36"/>
      <c r="D14" s="37" t="s">
        <v>37</v>
      </c>
    </row>
    <row r="15" customFormat="false" ht="19.5" hidden="false" customHeight="true" outlineLevel="0" collapsed="false">
      <c r="A15" s="31" t="s">
        <v>38</v>
      </c>
      <c r="B15" s="39" t="n">
        <f aca="false">B13*(1+B14)</f>
        <v>2240000</v>
      </c>
      <c r="C15" s="33"/>
      <c r="D15" s="34" t="s">
        <v>39</v>
      </c>
    </row>
    <row r="16" customFormat="false" ht="19.5" hidden="false" customHeight="true" outlineLevel="0" collapsed="false">
      <c r="A16" s="35" t="s">
        <v>40</v>
      </c>
      <c r="B16" s="32" t="s">
        <v>41</v>
      </c>
      <c r="C16" s="36"/>
      <c r="D16" s="37" t="s">
        <v>42</v>
      </c>
    </row>
    <row r="18" customFormat="false" ht="21.75" hidden="false" customHeight="true" outlineLevel="0" collapsed="false">
      <c r="A18" s="30" t="s">
        <v>43</v>
      </c>
      <c r="B18" s="30"/>
      <c r="C18" s="30"/>
      <c r="D18" s="30"/>
    </row>
    <row r="19" customFormat="false" ht="19.5" hidden="false" customHeight="true" outlineLevel="0" collapsed="false">
      <c r="A19" s="31" t="s">
        <v>44</v>
      </c>
      <c r="B19" s="40" t="n">
        <v>0.65</v>
      </c>
      <c r="C19" s="33"/>
      <c r="D19" s="34" t="s">
        <v>45</v>
      </c>
    </row>
    <row r="20" customFormat="false" ht="19.5" hidden="false" customHeight="true" outlineLevel="0" collapsed="false">
      <c r="A20" s="35" t="s">
        <v>46</v>
      </c>
      <c r="B20" s="40" t="n">
        <v>0.4</v>
      </c>
      <c r="C20" s="36"/>
      <c r="D20" s="37" t="s">
        <v>47</v>
      </c>
    </row>
    <row r="21" customFormat="false" ht="19.5" hidden="false" customHeight="true" outlineLevel="0" collapsed="false">
      <c r="A21" s="31" t="s">
        <v>48</v>
      </c>
      <c r="B21" s="40" t="n">
        <v>0.1</v>
      </c>
      <c r="C21" s="33"/>
      <c r="D21" s="34" t="s">
        <v>49</v>
      </c>
    </row>
    <row r="22" customFormat="false" ht="19.5" hidden="false" customHeight="true" outlineLevel="0" collapsed="false">
      <c r="A22" s="35" t="s">
        <v>50</v>
      </c>
      <c r="B22" s="40" t="n">
        <f aca="false">B18-B20-B21</f>
        <v>-0.5</v>
      </c>
      <c r="C22" s="36"/>
      <c r="D22" s="37" t="s">
        <v>51</v>
      </c>
    </row>
    <row r="24" customFormat="false" ht="21.75" hidden="false" customHeight="true" outlineLevel="0" collapsed="false">
      <c r="A24" s="30" t="s">
        <v>52</v>
      </c>
      <c r="B24" s="30"/>
      <c r="C24" s="30"/>
      <c r="D24" s="30"/>
    </row>
    <row r="25" customFormat="false" ht="19.5" hidden="false" customHeight="true" outlineLevel="0" collapsed="false">
      <c r="A25" s="31" t="s">
        <v>53</v>
      </c>
      <c r="B25" s="41" t="n">
        <v>45</v>
      </c>
      <c r="C25" s="33"/>
      <c r="D25" s="34" t="s">
        <v>54</v>
      </c>
    </row>
    <row r="26" customFormat="false" ht="19.5" hidden="false" customHeight="true" outlineLevel="0" collapsed="false">
      <c r="A26" s="35" t="s">
        <v>55</v>
      </c>
      <c r="B26" s="41" t="n">
        <v>30</v>
      </c>
      <c r="C26" s="36"/>
      <c r="D26" s="37" t="s">
        <v>56</v>
      </c>
    </row>
    <row r="27" customFormat="false" ht="19.5" hidden="false" customHeight="true" outlineLevel="0" collapsed="false">
      <c r="A27" s="31" t="s">
        <v>57</v>
      </c>
      <c r="B27" s="39" t="n">
        <v>80000</v>
      </c>
      <c r="C27" s="33"/>
      <c r="D27" s="34" t="s">
        <v>58</v>
      </c>
    </row>
    <row r="28" customFormat="false" ht="19.5" hidden="false" customHeight="true" outlineLevel="0" collapsed="false">
      <c r="A28" s="35" t="s">
        <v>59</v>
      </c>
      <c r="B28" s="39" t="n">
        <v>30000</v>
      </c>
      <c r="C28" s="36"/>
      <c r="D28" s="37" t="s">
        <v>60</v>
      </c>
    </row>
    <row r="30" customFormat="false" ht="21.75" hidden="false" customHeight="true" outlineLevel="0" collapsed="false">
      <c r="A30" s="30" t="s">
        <v>61</v>
      </c>
      <c r="B30" s="30"/>
      <c r="C30" s="30"/>
      <c r="D30" s="30"/>
    </row>
    <row r="31" customFormat="false" ht="19.5" hidden="false" customHeight="true" outlineLevel="0" collapsed="false">
      <c r="A31" s="31" t="s">
        <v>62</v>
      </c>
      <c r="B31" s="39" t="n">
        <v>480000</v>
      </c>
      <c r="C31" s="33"/>
      <c r="D31" s="34" t="s">
        <v>63</v>
      </c>
    </row>
    <row r="32" customFormat="false" ht="19.5" hidden="false" customHeight="true" outlineLevel="0" collapsed="false">
      <c r="A32" s="35" t="s">
        <v>64</v>
      </c>
      <c r="B32" s="39" t="n">
        <v>36000</v>
      </c>
      <c r="C32" s="36"/>
      <c r="D32" s="37"/>
    </row>
    <row r="33" customFormat="false" ht="19.5" hidden="false" customHeight="true" outlineLevel="0" collapsed="false">
      <c r="A33" s="31" t="s">
        <v>65</v>
      </c>
      <c r="B33" s="39" t="n">
        <v>24000</v>
      </c>
      <c r="C33" s="33"/>
      <c r="D33" s="34"/>
    </row>
    <row r="34" customFormat="false" ht="19.5" hidden="false" customHeight="true" outlineLevel="0" collapsed="false">
      <c r="A34" s="35" t="s">
        <v>66</v>
      </c>
      <c r="B34" s="39" t="n">
        <v>60000</v>
      </c>
      <c r="C34" s="36"/>
      <c r="D34" s="37" t="s">
        <v>67</v>
      </c>
    </row>
    <row r="35" customFormat="false" ht="19.5" hidden="false" customHeight="true" outlineLevel="0" collapsed="false">
      <c r="A35" s="31" t="s">
        <v>68</v>
      </c>
      <c r="B35" s="40" t="n">
        <v>0.25</v>
      </c>
      <c r="C35" s="33"/>
      <c r="D35" s="34" t="s">
        <v>69</v>
      </c>
    </row>
    <row r="38" customFormat="false" ht="30" hidden="false" customHeight="true" outlineLevel="0" collapsed="false">
      <c r="A38" s="42" t="s">
        <v>70</v>
      </c>
      <c r="B38" s="42"/>
      <c r="C38" s="42"/>
      <c r="D38" s="42"/>
    </row>
  </sheetData>
  <mergeCells count="8">
    <mergeCell ref="A2:D2"/>
    <mergeCell ref="A4:D4"/>
    <mergeCell ref="A6:D6"/>
    <mergeCell ref="A12:D12"/>
    <mergeCell ref="A18:D18"/>
    <mergeCell ref="A24:D24"/>
    <mergeCell ref="A30:D30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4" min="2" style="1" width="11"/>
    <col collapsed="false" customWidth="true" hidden="false" outlineLevel="0" max="15" min="15" style="1" width="13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9.75" hidden="false" customHeight="true" outlineLevel="0" collapsed="false">
      <c r="A2" s="3" t="s">
        <v>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3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customFormat="false" ht="27.75" hidden="false" customHeight="true" outlineLevel="0" collapsed="false">
      <c r="A5" s="43" t="s">
        <v>72</v>
      </c>
      <c r="B5" s="43" t="s">
        <v>73</v>
      </c>
      <c r="C5" s="43" t="s">
        <v>74</v>
      </c>
      <c r="D5" s="43" t="s">
        <v>75</v>
      </c>
      <c r="E5" s="43" t="s">
        <v>76</v>
      </c>
      <c r="F5" s="43" t="s">
        <v>77</v>
      </c>
      <c r="G5" s="43" t="s">
        <v>78</v>
      </c>
      <c r="H5" s="43" t="s">
        <v>79</v>
      </c>
      <c r="I5" s="43" t="s">
        <v>80</v>
      </c>
      <c r="J5" s="43" t="s">
        <v>81</v>
      </c>
      <c r="K5" s="43" t="s">
        <v>82</v>
      </c>
      <c r="L5" s="43" t="s">
        <v>83</v>
      </c>
      <c r="M5" s="43" t="s">
        <v>84</v>
      </c>
      <c r="N5" s="44" t="s">
        <v>85</v>
      </c>
    </row>
    <row r="6" customFormat="false" ht="15.75" hidden="false" customHeight="true" outlineLevel="0" collapsed="false">
      <c r="A6" s="45" t="s">
        <v>86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customFormat="false" ht="21.75" hidden="false" customHeight="true" outlineLevel="0" collapsed="false">
      <c r="A7" s="30" t="s">
        <v>87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customFormat="false" ht="19.5" hidden="false" customHeight="true" outlineLevel="0" collapsed="false">
      <c r="A8" s="46" t="s">
        <v>88</v>
      </c>
      <c r="B8" s="47" t="n">
        <f aca="false">(Hypothèses!B15)/12</f>
        <v>186666.666666667</v>
      </c>
      <c r="C8" s="47" t="n">
        <f aca="false">(Hypothèses!B15)/12</f>
        <v>186666.666666667</v>
      </c>
      <c r="D8" s="47" t="n">
        <f aca="false">(Hypothèses!B15)/12</f>
        <v>186666.666666667</v>
      </c>
      <c r="E8" s="47" t="n">
        <f aca="false">(Hypothèses!B15)/12</f>
        <v>186666.666666667</v>
      </c>
      <c r="F8" s="47" t="n">
        <f aca="false">(Hypothèses!B15)/12</f>
        <v>186666.666666667</v>
      </c>
      <c r="G8" s="47" t="n">
        <f aca="false">(Hypothèses!B15)/12</f>
        <v>186666.666666667</v>
      </c>
      <c r="H8" s="47" t="n">
        <f aca="false">(Hypothèses!B15)/12</f>
        <v>186666.666666667</v>
      </c>
      <c r="I8" s="47" t="n">
        <f aca="false">(Hypothèses!B15)/12</f>
        <v>186666.666666667</v>
      </c>
      <c r="J8" s="47" t="n">
        <f aca="false">(Hypothèses!B15)/12</f>
        <v>186666.666666667</v>
      </c>
      <c r="K8" s="47" t="n">
        <f aca="false">(Hypothèses!B15)/12</f>
        <v>186666.666666667</v>
      </c>
      <c r="L8" s="47" t="n">
        <f aca="false">(Hypothèses!B15)/12</f>
        <v>186666.666666667</v>
      </c>
      <c r="M8" s="47" t="n">
        <f aca="false">(Hypothèses!B15)/12</f>
        <v>186666.666666667</v>
      </c>
      <c r="N8" s="47" t="n">
        <f aca="false">SUM(B8:M8)</f>
        <v>2240000</v>
      </c>
    </row>
    <row r="9" customFormat="false" ht="21.75" hidden="false" customHeight="true" outlineLevel="0" collapsed="false">
      <c r="A9" s="30" t="s">
        <v>89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customFormat="false" ht="19.5" hidden="false" customHeight="true" outlineLevel="0" collapsed="false">
      <c r="A10" s="48" t="s">
        <v>90</v>
      </c>
      <c r="B10" s="49" t="n">
        <f aca="false">-B8*(1-Hypothèses!$B$18)</f>
        <v>-186666.666666667</v>
      </c>
      <c r="C10" s="49" t="n">
        <f aca="false">-B8*(1-Hypothèses!$B$18)</f>
        <v>-186666.666666667</v>
      </c>
      <c r="D10" s="49" t="n">
        <f aca="false">-B8*(1-Hypothèses!$B$18)</f>
        <v>-186666.666666667</v>
      </c>
      <c r="E10" s="49" t="n">
        <f aca="false">-B8*(1-Hypothèses!$B$18)</f>
        <v>-186666.666666667</v>
      </c>
      <c r="F10" s="49" t="n">
        <f aca="false">-B8*(1-Hypothèses!$B$18)</f>
        <v>-186666.666666667</v>
      </c>
      <c r="G10" s="49" t="n">
        <f aca="false">-B8*(1-Hypothèses!$B$18)</f>
        <v>-186666.666666667</v>
      </c>
      <c r="H10" s="49" t="n">
        <f aca="false">-B8*(1-Hypothèses!$B$18)</f>
        <v>-186666.666666667</v>
      </c>
      <c r="I10" s="49" t="n">
        <f aca="false">-B8*(1-Hypothèses!$B$18)</f>
        <v>-186666.666666667</v>
      </c>
      <c r="J10" s="49" t="n">
        <f aca="false">-B8*(1-Hypothèses!$B$18)</f>
        <v>-186666.666666667</v>
      </c>
      <c r="K10" s="49" t="n">
        <f aca="false">-B8*(1-Hypothèses!$B$18)</f>
        <v>-186666.666666667</v>
      </c>
      <c r="L10" s="49" t="n">
        <f aca="false">-B8*(1-Hypothèses!$B$18)</f>
        <v>-186666.666666667</v>
      </c>
      <c r="M10" s="49" t="n">
        <f aca="false">-B8*(1-Hypothèses!$B$18)</f>
        <v>-186666.666666667</v>
      </c>
      <c r="N10" s="50" t="n">
        <f aca="false">SUM(B10:M10)</f>
        <v>-2240000</v>
      </c>
    </row>
    <row r="11" customFormat="false" ht="19.5" hidden="false" customHeight="true" outlineLevel="0" collapsed="false">
      <c r="A11" s="51" t="s">
        <v>91</v>
      </c>
      <c r="B11" s="52" t="n">
        <f aca="false">B8+B10</f>
        <v>0</v>
      </c>
      <c r="C11" s="52" t="n">
        <f aca="false">B8+B10</f>
        <v>0</v>
      </c>
      <c r="D11" s="52" t="n">
        <f aca="false">B8+B10</f>
        <v>0</v>
      </c>
      <c r="E11" s="52" t="n">
        <f aca="false">B8+B10</f>
        <v>0</v>
      </c>
      <c r="F11" s="52" t="n">
        <f aca="false">B8+B10</f>
        <v>0</v>
      </c>
      <c r="G11" s="52" t="n">
        <f aca="false">B8+B10</f>
        <v>0</v>
      </c>
      <c r="H11" s="52" t="n">
        <f aca="false">B8+B10</f>
        <v>0</v>
      </c>
      <c r="I11" s="52" t="n">
        <f aca="false">B8+B10</f>
        <v>0</v>
      </c>
      <c r="J11" s="52" t="n">
        <f aca="false">B8+B10</f>
        <v>0</v>
      </c>
      <c r="K11" s="52" t="n">
        <f aca="false">B8+B10</f>
        <v>0</v>
      </c>
      <c r="L11" s="52" t="n">
        <f aca="false">B8+B10</f>
        <v>0</v>
      </c>
      <c r="M11" s="52" t="n">
        <f aca="false">B8+B10</f>
        <v>0</v>
      </c>
      <c r="N11" s="52" t="n">
        <f aca="false">SUM(B11:M11)</f>
        <v>0</v>
      </c>
    </row>
    <row r="12" customFormat="false" ht="19.5" hidden="false" customHeight="true" outlineLevel="0" collapsed="false">
      <c r="A12" s="53" t="s">
        <v>92</v>
      </c>
      <c r="B12" s="54" t="n">
        <f aca="false">IF(B8&lt;&gt;0,B11/B8,0)</f>
        <v>0</v>
      </c>
      <c r="C12" s="54" t="n">
        <f aca="false">IF(B8&lt;&gt;0,B11/B8,0)</f>
        <v>0</v>
      </c>
      <c r="D12" s="54" t="n">
        <f aca="false">IF(B8&lt;&gt;0,B11/B8,0)</f>
        <v>0</v>
      </c>
      <c r="E12" s="54" t="n">
        <f aca="false">IF(B8&lt;&gt;0,B11/B8,0)</f>
        <v>0</v>
      </c>
      <c r="F12" s="54" t="n">
        <f aca="false">IF(B8&lt;&gt;0,B11/B8,0)</f>
        <v>0</v>
      </c>
      <c r="G12" s="54" t="n">
        <f aca="false">IF(B8&lt;&gt;0,B11/B8,0)</f>
        <v>0</v>
      </c>
      <c r="H12" s="54" t="n">
        <f aca="false">IF(B8&lt;&gt;0,B11/B8,0)</f>
        <v>0</v>
      </c>
      <c r="I12" s="54" t="n">
        <f aca="false">IF(B8&lt;&gt;0,B11/B8,0)</f>
        <v>0</v>
      </c>
      <c r="J12" s="54" t="n">
        <f aca="false">IF(B8&lt;&gt;0,B11/B8,0)</f>
        <v>0</v>
      </c>
      <c r="K12" s="54" t="n">
        <f aca="false">IF(B8&lt;&gt;0,B11/B8,0)</f>
        <v>0</v>
      </c>
      <c r="L12" s="54" t="n">
        <f aca="false">IF(B8&lt;&gt;0,B11/B8,0)</f>
        <v>0</v>
      </c>
      <c r="M12" s="54" t="n">
        <f aca="false">IF(B8&lt;&gt;0,B11/B8,0)</f>
        <v>0</v>
      </c>
      <c r="N12" s="55" t="n">
        <f aca="false">IF(N8&lt;&gt;0,N11/N8,0)</f>
        <v>0</v>
      </c>
    </row>
    <row r="13" customFormat="false" ht="21.75" hidden="false" customHeight="true" outlineLevel="0" collapsed="false">
      <c r="A13" s="30" t="s">
        <v>93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customFormat="false" ht="19.5" hidden="false" customHeight="true" outlineLevel="0" collapsed="false">
      <c r="A14" s="48" t="s">
        <v>94</v>
      </c>
      <c r="B14" s="49" t="n">
        <f aca="false">-Hypothèses!$B$30/12</f>
        <v>-0</v>
      </c>
      <c r="C14" s="49" t="n">
        <f aca="false">-Hypothèses!$B$30/12</f>
        <v>-0</v>
      </c>
      <c r="D14" s="49" t="n">
        <f aca="false">-Hypothèses!$B$30/12</f>
        <v>-0</v>
      </c>
      <c r="E14" s="49" t="n">
        <f aca="false">-Hypothèses!$B$30/12</f>
        <v>-0</v>
      </c>
      <c r="F14" s="49" t="n">
        <f aca="false">-Hypothèses!$B$30/12</f>
        <v>-0</v>
      </c>
      <c r="G14" s="49" t="n">
        <f aca="false">-Hypothèses!$B$30/12</f>
        <v>-0</v>
      </c>
      <c r="H14" s="49" t="n">
        <f aca="false">-Hypothèses!$B$30/12</f>
        <v>-0</v>
      </c>
      <c r="I14" s="49" t="n">
        <f aca="false">-Hypothèses!$B$30/12</f>
        <v>-0</v>
      </c>
      <c r="J14" s="49" t="n">
        <f aca="false">-Hypothèses!$B$30/12</f>
        <v>-0</v>
      </c>
      <c r="K14" s="49" t="n">
        <f aca="false">-Hypothèses!$B$30/12</f>
        <v>-0</v>
      </c>
      <c r="L14" s="49" t="n">
        <f aca="false">-Hypothèses!$B$30/12</f>
        <v>-0</v>
      </c>
      <c r="M14" s="49" t="n">
        <f aca="false">-Hypothèses!$B$30/12</f>
        <v>-0</v>
      </c>
      <c r="N14" s="50" t="n">
        <f aca="false">SUM(B14:M14)</f>
        <v>0</v>
      </c>
    </row>
    <row r="15" customFormat="false" ht="19.5" hidden="false" customHeight="true" outlineLevel="0" collapsed="false">
      <c r="A15" s="48" t="s">
        <v>95</v>
      </c>
      <c r="B15" s="56" t="n">
        <f aca="false">-Hypothèses!$B$31/12</f>
        <v>-40000</v>
      </c>
      <c r="C15" s="56" t="n">
        <f aca="false">-Hypothèses!$B$31/12</f>
        <v>-40000</v>
      </c>
      <c r="D15" s="56" t="n">
        <f aca="false">-Hypothèses!$B$31/12</f>
        <v>-40000</v>
      </c>
      <c r="E15" s="56" t="n">
        <f aca="false">-Hypothèses!$B$31/12</f>
        <v>-40000</v>
      </c>
      <c r="F15" s="56" t="n">
        <f aca="false">-Hypothèses!$B$31/12</f>
        <v>-40000</v>
      </c>
      <c r="G15" s="56" t="n">
        <f aca="false">-Hypothèses!$B$31/12</f>
        <v>-40000</v>
      </c>
      <c r="H15" s="56" t="n">
        <f aca="false">-Hypothèses!$B$31/12</f>
        <v>-40000</v>
      </c>
      <c r="I15" s="56" t="n">
        <f aca="false">-Hypothèses!$B$31/12</f>
        <v>-40000</v>
      </c>
      <c r="J15" s="56" t="n">
        <f aca="false">-Hypothèses!$B$31/12</f>
        <v>-40000</v>
      </c>
      <c r="K15" s="56" t="n">
        <f aca="false">-Hypothèses!$B$31/12</f>
        <v>-40000</v>
      </c>
      <c r="L15" s="56" t="n">
        <f aca="false">-Hypothèses!$B$31/12</f>
        <v>-40000</v>
      </c>
      <c r="M15" s="56" t="n">
        <f aca="false">-Hypothèses!$B$31/12</f>
        <v>-40000</v>
      </c>
      <c r="N15" s="50" t="n">
        <f aca="false">SUM(B15:M15)</f>
        <v>-480000</v>
      </c>
    </row>
    <row r="16" customFormat="false" ht="19.5" hidden="false" customHeight="true" outlineLevel="0" collapsed="false">
      <c r="A16" s="48" t="s">
        <v>96</v>
      </c>
      <c r="B16" s="49" t="n">
        <f aca="false">-B8*Hypothèses!$B$21</f>
        <v>-18666.6666666667</v>
      </c>
      <c r="C16" s="49" t="n">
        <f aca="false">-B8*Hypothèses!$B$21</f>
        <v>-18666.6666666667</v>
      </c>
      <c r="D16" s="49" t="n">
        <f aca="false">-B8*Hypothèses!$B$21</f>
        <v>-18666.6666666667</v>
      </c>
      <c r="E16" s="49" t="n">
        <f aca="false">-B8*Hypothèses!$B$21</f>
        <v>-18666.6666666667</v>
      </c>
      <c r="F16" s="49" t="n">
        <f aca="false">-B8*Hypothèses!$B$21</f>
        <v>-18666.6666666667</v>
      </c>
      <c r="G16" s="49" t="n">
        <f aca="false">-B8*Hypothèses!$B$21</f>
        <v>-18666.6666666667</v>
      </c>
      <c r="H16" s="49" t="n">
        <f aca="false">-B8*Hypothèses!$B$21</f>
        <v>-18666.6666666667</v>
      </c>
      <c r="I16" s="49" t="n">
        <f aca="false">-B8*Hypothèses!$B$21</f>
        <v>-18666.6666666667</v>
      </c>
      <c r="J16" s="49" t="n">
        <f aca="false">-B8*Hypothèses!$B$21</f>
        <v>-18666.6666666667</v>
      </c>
      <c r="K16" s="49" t="n">
        <f aca="false">-B8*Hypothèses!$B$21</f>
        <v>-18666.6666666667</v>
      </c>
      <c r="L16" s="49" t="n">
        <f aca="false">-B8*Hypothèses!$B$21</f>
        <v>-18666.6666666667</v>
      </c>
      <c r="M16" s="49" t="n">
        <f aca="false">-B8*Hypothèses!$B$21</f>
        <v>-18666.6666666667</v>
      </c>
      <c r="N16" s="50" t="n">
        <f aca="false">SUM(B16:M16)</f>
        <v>-224000</v>
      </c>
    </row>
    <row r="17" customFormat="false" ht="19.5" hidden="false" customHeight="true" outlineLevel="0" collapsed="false">
      <c r="A17" s="48" t="s">
        <v>97</v>
      </c>
      <c r="B17" s="56" t="n">
        <f aca="false">-Hypothèses!$B$33/12</f>
        <v>-2000</v>
      </c>
      <c r="C17" s="56" t="n">
        <f aca="false">-Hypothèses!$B$33/12</f>
        <v>-2000</v>
      </c>
      <c r="D17" s="56" t="n">
        <f aca="false">-Hypothèses!$B$33/12</f>
        <v>-2000</v>
      </c>
      <c r="E17" s="56" t="n">
        <f aca="false">-Hypothèses!$B$33/12</f>
        <v>-2000</v>
      </c>
      <c r="F17" s="56" t="n">
        <f aca="false">-Hypothèses!$B$33/12</f>
        <v>-2000</v>
      </c>
      <c r="G17" s="56" t="n">
        <f aca="false">-Hypothèses!$B$33/12</f>
        <v>-2000</v>
      </c>
      <c r="H17" s="56" t="n">
        <f aca="false">-Hypothèses!$B$33/12</f>
        <v>-2000</v>
      </c>
      <c r="I17" s="56" t="n">
        <f aca="false">-Hypothèses!$B$33/12</f>
        <v>-2000</v>
      </c>
      <c r="J17" s="56" t="n">
        <f aca="false">-Hypothèses!$B$33/12</f>
        <v>-2000</v>
      </c>
      <c r="K17" s="56" t="n">
        <f aca="false">-Hypothèses!$B$33/12</f>
        <v>-2000</v>
      </c>
      <c r="L17" s="56" t="n">
        <f aca="false">-Hypothèses!$B$33/12</f>
        <v>-2000</v>
      </c>
      <c r="M17" s="56" t="n">
        <f aca="false">-Hypothèses!$B$33/12</f>
        <v>-2000</v>
      </c>
      <c r="N17" s="50" t="n">
        <f aca="false">SUM(B17:M17)</f>
        <v>-24000</v>
      </c>
    </row>
    <row r="18" customFormat="false" ht="19.5" hidden="false" customHeight="true" outlineLevel="0" collapsed="false">
      <c r="A18" s="57" t="s">
        <v>98</v>
      </c>
      <c r="B18" s="58" t="n">
        <f aca="false">B11+B14+B15+B16+B17</f>
        <v>-60666.6666666667</v>
      </c>
      <c r="C18" s="58" t="n">
        <f aca="false">B11+B14+B15+B16+B17</f>
        <v>-60666.6666666667</v>
      </c>
      <c r="D18" s="58" t="n">
        <f aca="false">B11+B14+B15+B16+B17</f>
        <v>-60666.6666666667</v>
      </c>
      <c r="E18" s="58" t="n">
        <f aca="false">B11+B14+B15+B16+B17</f>
        <v>-60666.6666666667</v>
      </c>
      <c r="F18" s="58" t="n">
        <f aca="false">B11+B14+B15+B16+B17</f>
        <v>-60666.6666666667</v>
      </c>
      <c r="G18" s="58" t="n">
        <f aca="false">B11+B14+B15+B16+B17</f>
        <v>-60666.6666666667</v>
      </c>
      <c r="H18" s="58" t="n">
        <f aca="false">B11+B14+B15+B16+B17</f>
        <v>-60666.6666666667</v>
      </c>
      <c r="I18" s="58" t="n">
        <f aca="false">B11+B14+B15+B16+B17</f>
        <v>-60666.6666666667</v>
      </c>
      <c r="J18" s="58" t="n">
        <f aca="false">B11+B14+B15+B16+B17</f>
        <v>-60666.6666666667</v>
      </c>
      <c r="K18" s="58" t="n">
        <f aca="false">B11+B14+B15+B16+B17</f>
        <v>-60666.6666666667</v>
      </c>
      <c r="L18" s="58" t="n">
        <f aca="false">B11+B14+B15+B16+B17</f>
        <v>-60666.6666666667</v>
      </c>
      <c r="M18" s="58" t="n">
        <f aca="false">B11+B14+B15+B16+B17</f>
        <v>-60666.6666666667</v>
      </c>
      <c r="N18" s="58" t="n">
        <f aca="false">SUM(B18:M18)</f>
        <v>-728000</v>
      </c>
    </row>
    <row r="19" customFormat="false" ht="19.5" hidden="false" customHeight="true" outlineLevel="0" collapsed="false">
      <c r="A19" s="53" t="s">
        <v>99</v>
      </c>
      <c r="B19" s="59" t="n">
        <f aca="false">IF(B8&lt;&gt;0,B18/B8,0)</f>
        <v>-0.325</v>
      </c>
      <c r="C19" s="59" t="n">
        <f aca="false">IF(B8&lt;&gt;0,B18/B8,0)</f>
        <v>-0.325</v>
      </c>
      <c r="D19" s="59" t="n">
        <f aca="false">IF(B8&lt;&gt;0,B18/B8,0)</f>
        <v>-0.325</v>
      </c>
      <c r="E19" s="59" t="n">
        <f aca="false">IF(B8&lt;&gt;0,B18/B8,0)</f>
        <v>-0.325</v>
      </c>
      <c r="F19" s="59" t="n">
        <f aca="false">IF(B8&lt;&gt;0,B18/B8,0)</f>
        <v>-0.325</v>
      </c>
      <c r="G19" s="59" t="n">
        <f aca="false">IF(B8&lt;&gt;0,B18/B8,0)</f>
        <v>-0.325</v>
      </c>
      <c r="H19" s="59" t="n">
        <f aca="false">IF(B8&lt;&gt;0,B18/B8,0)</f>
        <v>-0.325</v>
      </c>
      <c r="I19" s="59" t="n">
        <f aca="false">IF(B8&lt;&gt;0,B18/B8,0)</f>
        <v>-0.325</v>
      </c>
      <c r="J19" s="59" t="n">
        <f aca="false">IF(B8&lt;&gt;0,B18/B8,0)</f>
        <v>-0.325</v>
      </c>
      <c r="K19" s="59" t="n">
        <f aca="false">IF(B8&lt;&gt;0,B18/B8,0)</f>
        <v>-0.325</v>
      </c>
      <c r="L19" s="59" t="n">
        <f aca="false">IF(B8&lt;&gt;0,B18/B8,0)</f>
        <v>-0.325</v>
      </c>
      <c r="M19" s="59" t="n">
        <f aca="false">IF(B8&lt;&gt;0,B18/B8,0)</f>
        <v>-0.325</v>
      </c>
      <c r="N19" s="55" t="n">
        <f aca="false">IF(N8&lt;&gt;0,N18/N8,0)</f>
        <v>-0.325</v>
      </c>
    </row>
    <row r="20" customFormat="false" ht="19.5" hidden="false" customHeight="true" outlineLevel="0" collapsed="false">
      <c r="A20" s="48" t="s">
        <v>100</v>
      </c>
      <c r="B20" s="49" t="n">
        <f aca="false">-Hypothèses!$B$32/12</f>
        <v>-3000</v>
      </c>
      <c r="C20" s="49" t="n">
        <f aca="false">-Hypothèses!$B$32/12</f>
        <v>-3000</v>
      </c>
      <c r="D20" s="49" t="n">
        <f aca="false">-Hypothèses!$B$32/12</f>
        <v>-3000</v>
      </c>
      <c r="E20" s="49" t="n">
        <f aca="false">-Hypothèses!$B$32/12</f>
        <v>-3000</v>
      </c>
      <c r="F20" s="49" t="n">
        <f aca="false">-Hypothèses!$B$32/12</f>
        <v>-3000</v>
      </c>
      <c r="G20" s="49" t="n">
        <f aca="false">-Hypothèses!$B$32/12</f>
        <v>-3000</v>
      </c>
      <c r="H20" s="49" t="n">
        <f aca="false">-Hypothèses!$B$32/12</f>
        <v>-3000</v>
      </c>
      <c r="I20" s="49" t="n">
        <f aca="false">-Hypothèses!$B$32/12</f>
        <v>-3000</v>
      </c>
      <c r="J20" s="49" t="n">
        <f aca="false">-Hypothèses!$B$32/12</f>
        <v>-3000</v>
      </c>
      <c r="K20" s="49" t="n">
        <f aca="false">-Hypothèses!$B$32/12</f>
        <v>-3000</v>
      </c>
      <c r="L20" s="49" t="n">
        <f aca="false">-Hypothèses!$B$32/12</f>
        <v>-3000</v>
      </c>
      <c r="M20" s="49" t="n">
        <f aca="false">-Hypothèses!$B$32/12</f>
        <v>-3000</v>
      </c>
      <c r="N20" s="50" t="n">
        <f aca="false">SUM(B20:M20)</f>
        <v>-36000</v>
      </c>
    </row>
    <row r="21" customFormat="false" ht="19.5" hidden="false" customHeight="true" outlineLevel="0" collapsed="false">
      <c r="A21" s="60" t="s">
        <v>101</v>
      </c>
      <c r="B21" s="61" t="n">
        <f aca="false">B18+B20</f>
        <v>-63666.6666666667</v>
      </c>
      <c r="C21" s="61" t="n">
        <f aca="false">B18+B20</f>
        <v>-63666.6666666667</v>
      </c>
      <c r="D21" s="61" t="n">
        <f aca="false">B18+B20</f>
        <v>-63666.6666666667</v>
      </c>
      <c r="E21" s="61" t="n">
        <f aca="false">B18+B20</f>
        <v>-63666.6666666667</v>
      </c>
      <c r="F21" s="61" t="n">
        <f aca="false">B18+B20</f>
        <v>-63666.6666666667</v>
      </c>
      <c r="G21" s="61" t="n">
        <f aca="false">B18+B20</f>
        <v>-63666.6666666667</v>
      </c>
      <c r="H21" s="61" t="n">
        <f aca="false">B18+B20</f>
        <v>-63666.6666666667</v>
      </c>
      <c r="I21" s="61" t="n">
        <f aca="false">B18+B20</f>
        <v>-63666.6666666667</v>
      </c>
      <c r="J21" s="61" t="n">
        <f aca="false">B18+B20</f>
        <v>-63666.6666666667</v>
      </c>
      <c r="K21" s="61" t="n">
        <f aca="false">B18+B20</f>
        <v>-63666.6666666667</v>
      </c>
      <c r="L21" s="61" t="n">
        <f aca="false">B18+B20</f>
        <v>-63666.6666666667</v>
      </c>
      <c r="M21" s="61" t="n">
        <f aca="false">B18+B20</f>
        <v>-63666.6666666667</v>
      </c>
      <c r="N21" s="61" t="n">
        <f aca="false">SUM(B21:M21)</f>
        <v>-764000</v>
      </c>
    </row>
    <row r="22" customFormat="false" ht="19.5" hidden="false" customHeight="true" outlineLevel="0" collapsed="false">
      <c r="A22" s="48" t="s">
        <v>102</v>
      </c>
      <c r="B22" s="49" t="n">
        <f aca="false">IF(B21&gt;0,-B21*Hypothèses!$B$34,0)</f>
        <v>0</v>
      </c>
      <c r="C22" s="49" t="n">
        <f aca="false">IF(B21&gt;0,-B21*Hypothèses!$B$34,0)</f>
        <v>0</v>
      </c>
      <c r="D22" s="49" t="n">
        <f aca="false">IF(B21&gt;0,-B21*Hypothèses!$B$34,0)</f>
        <v>0</v>
      </c>
      <c r="E22" s="49" t="n">
        <f aca="false">IF(B21&gt;0,-B21*Hypothèses!$B$34,0)</f>
        <v>0</v>
      </c>
      <c r="F22" s="49" t="n">
        <f aca="false">IF(B21&gt;0,-B21*Hypothèses!$B$34,0)</f>
        <v>0</v>
      </c>
      <c r="G22" s="49" t="n">
        <f aca="false">IF(B21&gt;0,-B21*Hypothèses!$B$34,0)</f>
        <v>0</v>
      </c>
      <c r="H22" s="49" t="n">
        <f aca="false">IF(B21&gt;0,-B21*Hypothèses!$B$34,0)</f>
        <v>0</v>
      </c>
      <c r="I22" s="49" t="n">
        <f aca="false">IF(B21&gt;0,-B21*Hypothèses!$B$34,0)</f>
        <v>0</v>
      </c>
      <c r="J22" s="49" t="n">
        <f aca="false">IF(B21&gt;0,-B21*Hypothèses!$B$34,0)</f>
        <v>0</v>
      </c>
      <c r="K22" s="49" t="n">
        <f aca="false">IF(B21&gt;0,-B21*Hypothèses!$B$34,0)</f>
        <v>0</v>
      </c>
      <c r="L22" s="49" t="n">
        <f aca="false">IF(B21&gt;0,-B21*Hypothèses!$B$34,0)</f>
        <v>0</v>
      </c>
      <c r="M22" s="49" t="n">
        <f aca="false">IF(B21&gt;0,-B21*Hypothèses!$B$34,0)</f>
        <v>0</v>
      </c>
      <c r="N22" s="50" t="n">
        <f aca="false">SUM(B22:M22)</f>
        <v>0</v>
      </c>
    </row>
    <row r="23" customFormat="false" ht="19.5" hidden="false" customHeight="true" outlineLevel="0" collapsed="false">
      <c r="A23" s="62" t="s">
        <v>103</v>
      </c>
      <c r="B23" s="63" t="n">
        <f aca="false">B21+B22</f>
        <v>-63666.6666666667</v>
      </c>
      <c r="C23" s="63" t="n">
        <f aca="false">B21+B22</f>
        <v>-63666.6666666667</v>
      </c>
      <c r="D23" s="63" t="n">
        <f aca="false">B21+B22</f>
        <v>-63666.6666666667</v>
      </c>
      <c r="E23" s="63" t="n">
        <f aca="false">B21+B22</f>
        <v>-63666.6666666667</v>
      </c>
      <c r="F23" s="63" t="n">
        <f aca="false">B21+B22</f>
        <v>-63666.6666666667</v>
      </c>
      <c r="G23" s="63" t="n">
        <f aca="false">B21+B22</f>
        <v>-63666.6666666667</v>
      </c>
      <c r="H23" s="63" t="n">
        <f aca="false">B21+B22</f>
        <v>-63666.6666666667</v>
      </c>
      <c r="I23" s="63" t="n">
        <f aca="false">B21+B22</f>
        <v>-63666.6666666667</v>
      </c>
      <c r="J23" s="63" t="n">
        <f aca="false">B21+B22</f>
        <v>-63666.6666666667</v>
      </c>
      <c r="K23" s="63" t="n">
        <f aca="false">B21+B22</f>
        <v>-63666.6666666667</v>
      </c>
      <c r="L23" s="63" t="n">
        <f aca="false">B21+B22</f>
        <v>-63666.6666666667</v>
      </c>
      <c r="M23" s="63" t="n">
        <f aca="false">B21+B22</f>
        <v>-63666.6666666667</v>
      </c>
      <c r="N23" s="63" t="n">
        <f aca="false">SUM(B23:M23)</f>
        <v>-764000</v>
      </c>
    </row>
    <row r="24" customFormat="false" ht="19.5" hidden="false" customHeight="true" outlineLevel="0" collapsed="false">
      <c r="A24" s="53" t="s">
        <v>104</v>
      </c>
      <c r="B24" s="54" t="n">
        <f aca="false">IF(B8&lt;&gt;0,B23/B8,0)</f>
        <v>-0.341071428571429</v>
      </c>
      <c r="C24" s="54" t="n">
        <f aca="false">IF(B8&lt;&gt;0,B23/B8,0)</f>
        <v>-0.341071428571429</v>
      </c>
      <c r="D24" s="54" t="n">
        <f aca="false">IF(B8&lt;&gt;0,B23/B8,0)</f>
        <v>-0.341071428571429</v>
      </c>
      <c r="E24" s="54" t="n">
        <f aca="false">IF(B8&lt;&gt;0,B23/B8,0)</f>
        <v>-0.341071428571429</v>
      </c>
      <c r="F24" s="54" t="n">
        <f aca="false">IF(B8&lt;&gt;0,B23/B8,0)</f>
        <v>-0.341071428571429</v>
      </c>
      <c r="G24" s="54" t="n">
        <f aca="false">IF(B8&lt;&gt;0,B23/B8,0)</f>
        <v>-0.341071428571429</v>
      </c>
      <c r="H24" s="54" t="n">
        <f aca="false">IF(B8&lt;&gt;0,B23/B8,0)</f>
        <v>-0.341071428571429</v>
      </c>
      <c r="I24" s="54" t="n">
        <f aca="false">IF(B8&lt;&gt;0,B23/B8,0)</f>
        <v>-0.341071428571429</v>
      </c>
      <c r="J24" s="54" t="n">
        <f aca="false">IF(B8&lt;&gt;0,B23/B8,0)</f>
        <v>-0.341071428571429</v>
      </c>
      <c r="K24" s="54" t="n">
        <f aca="false">IF(B8&lt;&gt;0,B23/B8,0)</f>
        <v>-0.341071428571429</v>
      </c>
      <c r="L24" s="54" t="n">
        <f aca="false">IF(B8&lt;&gt;0,B23/B8,0)</f>
        <v>-0.341071428571429</v>
      </c>
      <c r="M24" s="54" t="n">
        <f aca="false">IF(B8&lt;&gt;0,B23/B8,0)</f>
        <v>-0.341071428571429</v>
      </c>
      <c r="N24" s="55" t="n">
        <f aca="false">IF(N8&lt;&gt;0,N23/N8,0)</f>
        <v>-0.341071428571429</v>
      </c>
    </row>
  </sheetData>
  <mergeCells count="5">
    <mergeCell ref="A2:O2"/>
    <mergeCell ref="A6:N6"/>
    <mergeCell ref="A7:N7"/>
    <mergeCell ref="A9:N9"/>
    <mergeCell ref="A13: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4" min="2" style="1" width="11"/>
    <col collapsed="false" customWidth="true" hidden="false" outlineLevel="0" max="15" min="15" style="1" width="13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9.75" hidden="false" customHeight="true" outlineLevel="0" collapsed="false">
      <c r="A2" s="3" t="s">
        <v>105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customFormat="false" ht="13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customFormat="false" ht="27.75" hidden="false" customHeight="true" outlineLevel="0" collapsed="false">
      <c r="A5" s="43" t="s">
        <v>72</v>
      </c>
      <c r="B5" s="43" t="s">
        <v>73</v>
      </c>
      <c r="C5" s="43" t="s">
        <v>74</v>
      </c>
      <c r="D5" s="43" t="s">
        <v>75</v>
      </c>
      <c r="E5" s="43" t="s">
        <v>76</v>
      </c>
      <c r="F5" s="43" t="s">
        <v>77</v>
      </c>
      <c r="G5" s="43" t="s">
        <v>78</v>
      </c>
      <c r="H5" s="43" t="s">
        <v>79</v>
      </c>
      <c r="I5" s="43" t="s">
        <v>80</v>
      </c>
      <c r="J5" s="43" t="s">
        <v>81</v>
      </c>
      <c r="K5" s="43" t="s">
        <v>82</v>
      </c>
      <c r="L5" s="43" t="s">
        <v>83</v>
      </c>
      <c r="M5" s="43" t="s">
        <v>84</v>
      </c>
      <c r="N5" s="44" t="s">
        <v>85</v>
      </c>
    </row>
    <row r="6" customFormat="false" ht="21.75" hidden="false" customHeight="true" outlineLevel="0" collapsed="false">
      <c r="A6" s="30" t="s">
        <v>106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customFormat="false" ht="19.5" hidden="false" customHeight="true" outlineLevel="0" collapsed="false">
      <c r="A7" s="64" t="s">
        <v>107</v>
      </c>
      <c r="B7" s="65" t="n">
        <f aca="false">Hypothèses!$B$26</f>
        <v>30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customFormat="false" ht="21.75" hidden="false" customHeight="true" outlineLevel="0" collapsed="false">
      <c r="A8" s="30" t="s">
        <v>108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customFormat="false" ht="19.5" hidden="false" customHeight="true" outlineLevel="0" collapsed="false">
      <c r="A9" s="48" t="s">
        <v>109</v>
      </c>
      <c r="B9" s="66" t="n">
        <f aca="false">'Budget P&amp;L'!B8</f>
        <v>186666.666666667</v>
      </c>
      <c r="C9" s="66" t="n">
        <f aca="false">'Budget P&amp;L'!C8</f>
        <v>186666.666666667</v>
      </c>
      <c r="D9" s="66" t="n">
        <f aca="false">'Budget P&amp;L'!D8</f>
        <v>186666.666666667</v>
      </c>
      <c r="E9" s="66" t="n">
        <f aca="false">'Budget P&amp;L'!E8</f>
        <v>186666.666666667</v>
      </c>
      <c r="F9" s="66" t="n">
        <f aca="false">'Budget P&amp;L'!F8</f>
        <v>186666.666666667</v>
      </c>
      <c r="G9" s="66" t="n">
        <f aca="false">'Budget P&amp;L'!G8</f>
        <v>186666.666666667</v>
      </c>
      <c r="H9" s="66" t="n">
        <f aca="false">'Budget P&amp;L'!H8</f>
        <v>186666.666666667</v>
      </c>
      <c r="I9" s="66" t="n">
        <f aca="false">'Budget P&amp;L'!I8</f>
        <v>186666.666666667</v>
      </c>
      <c r="J9" s="66" t="n">
        <f aca="false">'Budget P&amp;L'!J8</f>
        <v>186666.666666667</v>
      </c>
      <c r="K9" s="66" t="n">
        <f aca="false">'Budget P&amp;L'!K8</f>
        <v>186666.666666667</v>
      </c>
      <c r="L9" s="66" t="n">
        <f aca="false">'Budget P&amp;L'!L8</f>
        <v>186666.666666667</v>
      </c>
      <c r="M9" s="66" t="n">
        <f aca="false">'Budget P&amp;L'!M8</f>
        <v>186666.666666667</v>
      </c>
      <c r="N9" s="67" t="n">
        <f aca="false">SUM(B9:M9)</f>
        <v>2240000</v>
      </c>
    </row>
    <row r="10" customFormat="false" ht="19.5" hidden="false" customHeight="true" outlineLevel="0" collapsed="false">
      <c r="A10" s="48" t="s">
        <v>110</v>
      </c>
      <c r="B10" s="68" t="n">
        <v>0</v>
      </c>
      <c r="C10" s="68" t="n">
        <v>0</v>
      </c>
      <c r="D10" s="68" t="n">
        <v>0</v>
      </c>
      <c r="E10" s="68" t="n">
        <v>0</v>
      </c>
      <c r="F10" s="68" t="n">
        <v>0</v>
      </c>
      <c r="G10" s="68" t="n">
        <v>0</v>
      </c>
      <c r="H10" s="68" t="n">
        <v>0</v>
      </c>
      <c r="I10" s="68" t="n">
        <v>0</v>
      </c>
      <c r="J10" s="68" t="n">
        <v>0</v>
      </c>
      <c r="K10" s="68" t="n">
        <v>0</v>
      </c>
      <c r="L10" s="68" t="n">
        <v>0</v>
      </c>
      <c r="M10" s="68" t="n">
        <v>0</v>
      </c>
      <c r="N10" s="67" t="n">
        <f aca="false">SUM(B10:M10)</f>
        <v>0</v>
      </c>
    </row>
    <row r="11" customFormat="false" ht="19.5" hidden="false" customHeight="true" outlineLevel="0" collapsed="false">
      <c r="A11" s="51" t="s">
        <v>111</v>
      </c>
      <c r="B11" s="52" t="n">
        <f aca="false">B9+B10</f>
        <v>186666.666666667</v>
      </c>
      <c r="C11" s="52" t="n">
        <f aca="false">B9+B10</f>
        <v>186666.666666667</v>
      </c>
      <c r="D11" s="52" t="n">
        <f aca="false">B9+B10</f>
        <v>186666.666666667</v>
      </c>
      <c r="E11" s="52" t="n">
        <f aca="false">B9+B10</f>
        <v>186666.666666667</v>
      </c>
      <c r="F11" s="52" t="n">
        <f aca="false">B9+B10</f>
        <v>186666.666666667</v>
      </c>
      <c r="G11" s="52" t="n">
        <f aca="false">B9+B10</f>
        <v>186666.666666667</v>
      </c>
      <c r="H11" s="52" t="n">
        <f aca="false">B9+B10</f>
        <v>186666.666666667</v>
      </c>
      <c r="I11" s="52" t="n">
        <f aca="false">B9+B10</f>
        <v>186666.666666667</v>
      </c>
      <c r="J11" s="52" t="n">
        <f aca="false">B9+B10</f>
        <v>186666.666666667</v>
      </c>
      <c r="K11" s="52" t="n">
        <f aca="false">B9+B10</f>
        <v>186666.666666667</v>
      </c>
      <c r="L11" s="52" t="n">
        <f aca="false">B9+B10</f>
        <v>186666.666666667</v>
      </c>
      <c r="M11" s="52" t="n">
        <f aca="false">B9+B10</f>
        <v>186666.666666667</v>
      </c>
      <c r="N11" s="52" t="n">
        <f aca="false">SUM(B11:M11)</f>
        <v>2240000</v>
      </c>
    </row>
    <row r="12" customFormat="false" ht="21.75" hidden="false" customHeight="true" outlineLevel="0" collapsed="false">
      <c r="A12" s="30" t="s">
        <v>112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customFormat="false" ht="19.5" hidden="false" customHeight="true" outlineLevel="0" collapsed="false">
      <c r="A13" s="48" t="s">
        <v>113</v>
      </c>
      <c r="B13" s="66" t="n">
        <f aca="false">Hypothèses!$B$30/12</f>
        <v>0</v>
      </c>
      <c r="C13" s="66" t="n">
        <f aca="false">Hypothèses!$B$30/12</f>
        <v>0</v>
      </c>
      <c r="D13" s="66" t="n">
        <f aca="false">Hypothèses!$B$30/12</f>
        <v>0</v>
      </c>
      <c r="E13" s="66" t="n">
        <f aca="false">Hypothèses!$B$30/12</f>
        <v>0</v>
      </c>
      <c r="F13" s="66" t="n">
        <f aca="false">Hypothèses!$B$30/12</f>
        <v>0</v>
      </c>
      <c r="G13" s="66" t="n">
        <f aca="false">Hypothèses!$B$30/12</f>
        <v>0</v>
      </c>
      <c r="H13" s="66" t="n">
        <f aca="false">Hypothèses!$B$30/12</f>
        <v>0</v>
      </c>
      <c r="I13" s="66" t="n">
        <f aca="false">Hypothèses!$B$30/12</f>
        <v>0</v>
      </c>
      <c r="J13" s="66" t="n">
        <f aca="false">Hypothèses!$B$30/12</f>
        <v>0</v>
      </c>
      <c r="K13" s="66" t="n">
        <f aca="false">Hypothèses!$B$30/12</f>
        <v>0</v>
      </c>
      <c r="L13" s="66" t="n">
        <f aca="false">Hypothèses!$B$30/12</f>
        <v>0</v>
      </c>
      <c r="M13" s="66" t="n">
        <f aca="false">Hypothèses!$B$30/12</f>
        <v>0</v>
      </c>
      <c r="N13" s="67" t="n">
        <f aca="false">SUM(B13:M13)</f>
        <v>0</v>
      </c>
    </row>
    <row r="14" customFormat="false" ht="19.5" hidden="false" customHeight="true" outlineLevel="0" collapsed="false">
      <c r="A14" s="48" t="s">
        <v>95</v>
      </c>
      <c r="B14" s="68" t="n">
        <f aca="false">Hypothèses!$B$31/12</f>
        <v>40000</v>
      </c>
      <c r="C14" s="68" t="n">
        <f aca="false">Hypothèses!$B$31/12</f>
        <v>40000</v>
      </c>
      <c r="D14" s="68" t="n">
        <f aca="false">Hypothèses!$B$31/12</f>
        <v>40000</v>
      </c>
      <c r="E14" s="68" t="n">
        <f aca="false">Hypothèses!$B$31/12</f>
        <v>40000</v>
      </c>
      <c r="F14" s="68" t="n">
        <f aca="false">Hypothèses!$B$31/12</f>
        <v>40000</v>
      </c>
      <c r="G14" s="68" t="n">
        <f aca="false">Hypothèses!$B$31/12</f>
        <v>40000</v>
      </c>
      <c r="H14" s="68" t="n">
        <f aca="false">Hypothèses!$B$31/12</f>
        <v>40000</v>
      </c>
      <c r="I14" s="68" t="n">
        <f aca="false">Hypothèses!$B$31/12</f>
        <v>40000</v>
      </c>
      <c r="J14" s="68" t="n">
        <f aca="false">Hypothèses!$B$31/12</f>
        <v>40000</v>
      </c>
      <c r="K14" s="68" t="n">
        <f aca="false">Hypothèses!$B$31/12</f>
        <v>40000</v>
      </c>
      <c r="L14" s="68" t="n">
        <f aca="false">Hypothèses!$B$31/12</f>
        <v>40000</v>
      </c>
      <c r="M14" s="68" t="n">
        <f aca="false">Hypothèses!$B$31/12</f>
        <v>40000</v>
      </c>
      <c r="N14" s="67" t="n">
        <f aca="false">SUM(B14:M14)</f>
        <v>480000</v>
      </c>
    </row>
    <row r="15" customFormat="false" ht="19.5" hidden="false" customHeight="true" outlineLevel="0" collapsed="false">
      <c r="A15" s="48" t="s">
        <v>114</v>
      </c>
      <c r="B15" s="66" t="n">
        <f aca="false">'Budget P&amp;L'!B10*-1</f>
        <v>186666.666666667</v>
      </c>
      <c r="C15" s="66" t="n">
        <f aca="false">'Budget P&amp;L'!C10*-1</f>
        <v>186666.666666667</v>
      </c>
      <c r="D15" s="66" t="n">
        <f aca="false">'Budget P&amp;L'!D10*-1</f>
        <v>186666.666666667</v>
      </c>
      <c r="E15" s="66" t="n">
        <f aca="false">'Budget P&amp;L'!E10*-1</f>
        <v>186666.666666667</v>
      </c>
      <c r="F15" s="66" t="n">
        <f aca="false">'Budget P&amp;L'!F10*-1</f>
        <v>186666.666666667</v>
      </c>
      <c r="G15" s="66" t="n">
        <f aca="false">'Budget P&amp;L'!G10*-1</f>
        <v>186666.666666667</v>
      </c>
      <c r="H15" s="66" t="n">
        <f aca="false">'Budget P&amp;L'!H10*-1</f>
        <v>186666.666666667</v>
      </c>
      <c r="I15" s="66" t="n">
        <f aca="false">'Budget P&amp;L'!I10*-1</f>
        <v>186666.666666667</v>
      </c>
      <c r="J15" s="66" t="n">
        <f aca="false">'Budget P&amp;L'!J10*-1</f>
        <v>186666.666666667</v>
      </c>
      <c r="K15" s="66" t="n">
        <f aca="false">'Budget P&amp;L'!K10*-1</f>
        <v>186666.666666667</v>
      </c>
      <c r="L15" s="66" t="n">
        <f aca="false">'Budget P&amp;L'!L10*-1</f>
        <v>186666.666666667</v>
      </c>
      <c r="M15" s="66" t="n">
        <f aca="false">'Budget P&amp;L'!M10*-1</f>
        <v>186666.666666667</v>
      </c>
      <c r="N15" s="67" t="n">
        <f aca="false">SUM(B15:M15)</f>
        <v>2240000</v>
      </c>
    </row>
    <row r="16" customFormat="false" ht="19.5" hidden="false" customHeight="true" outlineLevel="0" collapsed="false">
      <c r="A16" s="48" t="s">
        <v>115</v>
      </c>
      <c r="B16" s="68" t="n">
        <v>0</v>
      </c>
      <c r="C16" s="68" t="n">
        <v>0</v>
      </c>
      <c r="D16" s="68" t="n">
        <f aca="false">'Budget P&amp;L'!N22*-1/4</f>
        <v>-0</v>
      </c>
      <c r="E16" s="68" t="n">
        <v>0</v>
      </c>
      <c r="F16" s="68" t="n">
        <v>0</v>
      </c>
      <c r="G16" s="68" t="n">
        <f aca="false">'Budget P&amp;L'!N22*-1/4</f>
        <v>-0</v>
      </c>
      <c r="H16" s="68" t="n">
        <v>0</v>
      </c>
      <c r="I16" s="68" t="n">
        <v>0</v>
      </c>
      <c r="J16" s="68" t="n">
        <f aca="false">'Budget P&amp;L'!N22*-1/4</f>
        <v>-0</v>
      </c>
      <c r="K16" s="68" t="n">
        <v>0</v>
      </c>
      <c r="L16" s="68" t="n">
        <v>0</v>
      </c>
      <c r="M16" s="68" t="n">
        <f aca="false">'Budget P&amp;L'!N22*-1/4</f>
        <v>-0</v>
      </c>
      <c r="N16" s="67" t="n">
        <f aca="false">SUM(B16:M16)</f>
        <v>0</v>
      </c>
    </row>
    <row r="17" customFormat="false" ht="19.5" hidden="false" customHeight="true" outlineLevel="0" collapsed="false">
      <c r="A17" s="48" t="s">
        <v>116</v>
      </c>
      <c r="B17" s="66" t="n">
        <f aca="false">Hypothèses!$B$33/12</f>
        <v>2000</v>
      </c>
      <c r="C17" s="66" t="n">
        <f aca="false">Hypothèses!$B$33/12</f>
        <v>2000</v>
      </c>
      <c r="D17" s="66" t="n">
        <f aca="false">Hypothèses!$B$33/12</f>
        <v>2000</v>
      </c>
      <c r="E17" s="66" t="n">
        <f aca="false">Hypothèses!$B$33/12</f>
        <v>2000</v>
      </c>
      <c r="F17" s="66" t="n">
        <f aca="false">Hypothèses!$B$33/12</f>
        <v>2000</v>
      </c>
      <c r="G17" s="66" t="n">
        <f aca="false">Hypothèses!$B$33/12</f>
        <v>2000</v>
      </c>
      <c r="H17" s="66" t="n">
        <f aca="false">Hypothèses!$B$33/12</f>
        <v>2000</v>
      </c>
      <c r="I17" s="66" t="n">
        <f aca="false">Hypothèses!$B$33/12</f>
        <v>2000</v>
      </c>
      <c r="J17" s="66" t="n">
        <f aca="false">Hypothèses!$B$33/12</f>
        <v>2000</v>
      </c>
      <c r="K17" s="66" t="n">
        <f aca="false">Hypothèses!$B$33/12</f>
        <v>2000</v>
      </c>
      <c r="L17" s="66" t="n">
        <f aca="false">Hypothèses!$B$33/12</f>
        <v>2000</v>
      </c>
      <c r="M17" s="66" t="n">
        <f aca="false">Hypothèses!$B$33/12</f>
        <v>2000</v>
      </c>
      <c r="N17" s="67" t="n">
        <f aca="false">SUM(B17:M17)</f>
        <v>24000</v>
      </c>
    </row>
    <row r="18" customFormat="false" ht="19.5" hidden="false" customHeight="true" outlineLevel="0" collapsed="false">
      <c r="A18" s="48" t="s">
        <v>117</v>
      </c>
      <c r="B18" s="68" t="n">
        <v>0</v>
      </c>
      <c r="C18" s="68" t="n">
        <v>0</v>
      </c>
      <c r="D18" s="68" t="n">
        <v>0</v>
      </c>
      <c r="E18" s="68" t="n">
        <v>0</v>
      </c>
      <c r="F18" s="68" t="n">
        <v>0</v>
      </c>
      <c r="G18" s="68" t="n">
        <v>0</v>
      </c>
      <c r="H18" s="68" t="n">
        <v>0</v>
      </c>
      <c r="I18" s="68" t="n">
        <v>0</v>
      </c>
      <c r="J18" s="68" t="n">
        <v>0</v>
      </c>
      <c r="K18" s="68" t="n">
        <v>0</v>
      </c>
      <c r="L18" s="68" t="n">
        <v>0</v>
      </c>
      <c r="M18" s="68" t="n">
        <v>0</v>
      </c>
      <c r="N18" s="67" t="n">
        <f aca="false">SUM(B18:M18)</f>
        <v>0</v>
      </c>
    </row>
    <row r="19" customFormat="false" ht="19.5" hidden="false" customHeight="true" outlineLevel="0" collapsed="false">
      <c r="A19" s="69" t="s">
        <v>118</v>
      </c>
      <c r="B19" s="70" t="n">
        <f aca="false">B13+B14+B15+B16+B17+B18</f>
        <v>228666.666666667</v>
      </c>
      <c r="C19" s="70" t="n">
        <f aca="false">B13+B14+B15+B16+B17+B18</f>
        <v>228666.666666667</v>
      </c>
      <c r="D19" s="70" t="n">
        <f aca="false">B13+B14+B15+B16+B17+B18</f>
        <v>228666.666666667</v>
      </c>
      <c r="E19" s="70" t="n">
        <f aca="false">B13+B14+B15+B16+B17+B18</f>
        <v>228666.666666667</v>
      </c>
      <c r="F19" s="70" t="n">
        <f aca="false">B13+B14+B15+B16+B17+B18</f>
        <v>228666.666666667</v>
      </c>
      <c r="G19" s="70" t="n">
        <f aca="false">B13+B14+B15+B16+B17+B18</f>
        <v>228666.666666667</v>
      </c>
      <c r="H19" s="70" t="n">
        <f aca="false">B13+B14+B15+B16+B17+B18</f>
        <v>228666.666666667</v>
      </c>
      <c r="I19" s="70" t="n">
        <f aca="false">B13+B14+B15+B16+B17+B18</f>
        <v>228666.666666667</v>
      </c>
      <c r="J19" s="70" t="n">
        <f aca="false">B13+B14+B15+B16+B17+B18</f>
        <v>228666.666666667</v>
      </c>
      <c r="K19" s="70" t="n">
        <f aca="false">B13+B14+B15+B16+B17+B18</f>
        <v>228666.666666667</v>
      </c>
      <c r="L19" s="70" t="n">
        <f aca="false">B13+B14+B15+B16+B17+B18</f>
        <v>228666.666666667</v>
      </c>
      <c r="M19" s="70" t="n">
        <f aca="false">B13+B14+B15+B16+B17+B18</f>
        <v>228666.666666667</v>
      </c>
      <c r="N19" s="70" t="n">
        <f aca="false">SUM(B19:M19)</f>
        <v>2744000</v>
      </c>
    </row>
    <row r="20" customFormat="false" ht="19.5" hidden="false" customHeight="true" outlineLevel="0" collapsed="false">
      <c r="A20" s="60" t="s">
        <v>119</v>
      </c>
      <c r="B20" s="61" t="n">
        <f aca="false">B11-B19</f>
        <v>-42000</v>
      </c>
      <c r="C20" s="61" t="n">
        <f aca="false">B11-B19</f>
        <v>-42000</v>
      </c>
      <c r="D20" s="61" t="n">
        <f aca="false">B11-B19</f>
        <v>-42000</v>
      </c>
      <c r="E20" s="61" t="n">
        <f aca="false">B11-B19</f>
        <v>-42000</v>
      </c>
      <c r="F20" s="61" t="n">
        <f aca="false">B11-B19</f>
        <v>-42000</v>
      </c>
      <c r="G20" s="61" t="n">
        <f aca="false">B11-B19</f>
        <v>-42000</v>
      </c>
      <c r="H20" s="61" t="n">
        <f aca="false">B11-B19</f>
        <v>-42000</v>
      </c>
      <c r="I20" s="61" t="n">
        <f aca="false">B11-B19</f>
        <v>-42000</v>
      </c>
      <c r="J20" s="61" t="n">
        <f aca="false">B11-B19</f>
        <v>-42000</v>
      </c>
      <c r="K20" s="61" t="n">
        <f aca="false">B11-B19</f>
        <v>-42000</v>
      </c>
      <c r="L20" s="61" t="n">
        <f aca="false">B11-B19</f>
        <v>-42000</v>
      </c>
      <c r="M20" s="61" t="n">
        <f aca="false">B11-B19</f>
        <v>-42000</v>
      </c>
      <c r="N20" s="61" t="n">
        <f aca="false">SUM(B20:M20)</f>
        <v>-504000</v>
      </c>
    </row>
    <row r="21" customFormat="false" ht="19.5" hidden="false" customHeight="true" outlineLevel="0" collapsed="false">
      <c r="A21" s="57" t="s">
        <v>120</v>
      </c>
      <c r="B21" s="58" t="n">
        <f aca="false">Hypothèses!$B$26+B20</f>
        <v>-41970</v>
      </c>
      <c r="C21" s="58" t="n">
        <f aca="false">B21+C20</f>
        <v>-83970</v>
      </c>
      <c r="D21" s="58" t="n">
        <f aca="false">C21+D20</f>
        <v>-125970</v>
      </c>
      <c r="E21" s="58" t="n">
        <f aca="false">D21+E20</f>
        <v>-167970</v>
      </c>
      <c r="F21" s="58" t="n">
        <f aca="false">E21+F20</f>
        <v>-209970</v>
      </c>
      <c r="G21" s="58" t="n">
        <f aca="false">F21+G20</f>
        <v>-251970</v>
      </c>
      <c r="H21" s="58" t="n">
        <f aca="false">G21+H20</f>
        <v>-293970</v>
      </c>
      <c r="I21" s="58" t="n">
        <f aca="false">H21+I20</f>
        <v>-335970</v>
      </c>
      <c r="J21" s="58" t="n">
        <f aca="false">I21+J20</f>
        <v>-377970</v>
      </c>
      <c r="K21" s="58" t="n">
        <f aca="false">J21+K20</f>
        <v>-419970</v>
      </c>
      <c r="L21" s="58" t="n">
        <f aca="false">K21+L20</f>
        <v>-461970</v>
      </c>
      <c r="M21" s="58" t="n">
        <f aca="false">L21+M20</f>
        <v>-503970</v>
      </c>
      <c r="N21" s="58" t="n">
        <f aca="false">M21</f>
        <v>-503970</v>
      </c>
    </row>
    <row r="22" customFormat="false" ht="19.5" hidden="false" customHeight="true" outlineLevel="0" collapsed="false">
      <c r="A22" s="71" t="s">
        <v>121</v>
      </c>
      <c r="B22" s="72" t="str">
        <f aca="false">IF(B21&lt;Hypothèses!$B$27,"⚠️ SOUS SEUIL","✅ OK")</f>
        <v>⚠️ SOUS SEUIL</v>
      </c>
      <c r="C22" s="72" t="str">
        <f aca="false">IF(C21&lt;Hypothèses!$B$27,"⚠️ SOUS SEUIL","✅ OK")</f>
        <v>⚠️ SOUS SEUIL</v>
      </c>
      <c r="D22" s="72" t="str">
        <f aca="false">IF(D21&lt;Hypothèses!$B$27,"⚠️ SOUS SEUIL","✅ OK")</f>
        <v>⚠️ SOUS SEUIL</v>
      </c>
      <c r="E22" s="72" t="str">
        <f aca="false">IF(E21&lt;Hypothèses!$B$27,"⚠️ SOUS SEUIL","✅ OK")</f>
        <v>⚠️ SOUS SEUIL</v>
      </c>
      <c r="F22" s="72" t="str">
        <f aca="false">IF(F21&lt;Hypothèses!$B$27,"⚠️ SOUS SEUIL","✅ OK")</f>
        <v>⚠️ SOUS SEUIL</v>
      </c>
      <c r="G22" s="72" t="str">
        <f aca="false">IF(G21&lt;Hypothèses!$B$27,"⚠️ SOUS SEUIL","✅ OK")</f>
        <v>⚠️ SOUS SEUIL</v>
      </c>
      <c r="H22" s="72" t="str">
        <f aca="false">IF(H21&lt;Hypothèses!$B$27,"⚠️ SOUS SEUIL","✅ OK")</f>
        <v>⚠️ SOUS SEUIL</v>
      </c>
      <c r="I22" s="72" t="str">
        <f aca="false">IF(I21&lt;Hypothèses!$B$27,"⚠️ SOUS SEUIL","✅ OK")</f>
        <v>⚠️ SOUS SEUIL</v>
      </c>
      <c r="J22" s="72" t="str">
        <f aca="false">IF(J21&lt;Hypothèses!$B$27,"⚠️ SOUS SEUIL","✅ OK")</f>
        <v>⚠️ SOUS SEUIL</v>
      </c>
      <c r="K22" s="72" t="str">
        <f aca="false">IF(K21&lt;Hypothèses!$B$27,"⚠️ SOUS SEUIL","✅ OK")</f>
        <v>⚠️ SOUS SEUIL</v>
      </c>
      <c r="L22" s="72" t="str">
        <f aca="false">IF(L21&lt;Hypothèses!$B$27,"⚠️ SOUS SEUIL","✅ OK")</f>
        <v>⚠️ SOUS SEUIL</v>
      </c>
      <c r="M22" s="72" t="str">
        <f aca="false">IF(M21&lt;Hypothèses!$B$27,"⚠️ SOUS SEUIL","✅ OK")</f>
        <v>⚠️ SOUS SEUIL</v>
      </c>
      <c r="N22" s="73"/>
    </row>
  </sheetData>
  <mergeCells count="4">
    <mergeCell ref="A2:N2"/>
    <mergeCell ref="A6:N6"/>
    <mergeCell ref="A8:N8"/>
    <mergeCell ref="A12: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2026-05-10T14:37:11Z</dcterms:created>
  <dc:creator>openpyxl</dc:creator>
  <dc:description/>
  <dc:language>en-US</dc:language>
  <cp:lastModifiedBy/>
  <dcterms:modified xsi:type="dcterms:W3CDTF">2026-05-10T14:37:37Z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