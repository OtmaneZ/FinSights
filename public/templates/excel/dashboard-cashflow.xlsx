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onfig" sheetId="2" state="visible" r:id="rId4"/>
    <sheet name="Flux Mensuels" sheetId="3" state="visible" r:id="rId5"/>
    <sheet name="Projection 6 Mo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<sst xmlns="http://schemas.openxmlformats.org/spreadsheetml/2006/main" count="116" uniqueCount="104">
  <si>
    <t xml:space="preserve">DASHBOARD CASH FLOW 2026 — VUE SYNTHÈSE</t>
  </si>
  <si>
    <t xml:space="preserve">  KPIs TRÉSORERIE — ANNÉE 2026</t>
  </si>
  <si>
    <t xml:space="preserve">TOTAL ENCAISSEMENTS</t>
  </si>
  <si>
    <t xml:space="preserve">FLUX NET ANNUEL</t>
  </si>
  <si>
    <t xml:space="preserve">SOLDE FIN DÉCEMBRE</t>
  </si>
  <si>
    <t xml:space="preserve">Cumulé 12 mois</t>
  </si>
  <si>
    <t xml:space="preserve">Encaiss. − Décaiss.</t>
  </si>
  <si>
    <t xml:space="preserve">Tréso de clôture</t>
  </si>
  <si>
    <t xml:space="preserve">SOLDE OUVERTURE</t>
  </si>
  <si>
    <t xml:space="preserve">SEUIL ALERTE</t>
  </si>
  <si>
    <t xml:space="preserve">MOIS SOUS SEUIL</t>
  </si>
  <si>
    <t xml:space="preserve">Au 01/01/2026</t>
  </si>
  <si>
    <t xml:space="preserve">Seuil de vigilance</t>
  </si>
  <si>
    <t xml:space="preserve">Nombre de mois critiques</t>
  </si>
  <si>
    <t xml:space="preserve">  SYNTHÈSE MENSUELLE</t>
  </si>
  <si>
    <t xml:space="preserve">Mois</t>
  </si>
  <si>
    <t xml:space="preserve">Encaissements</t>
  </si>
  <si>
    <t xml:space="preserve">Décaissements</t>
  </si>
  <si>
    <t xml:space="preserve">Flux net</t>
  </si>
  <si>
    <t xml:space="preserve">Solde fin mois</t>
  </si>
  <si>
    <t xml:space="preserve">Statut</t>
  </si>
  <si>
    <t xml:space="preserve">Jan</t>
  </si>
  <si>
    <t xml:space="preserve">Fév</t>
  </si>
  <si>
    <t xml:space="preserve">Mar</t>
  </si>
  <si>
    <t xml:space="preserve">Avr</t>
  </si>
  <si>
    <t xml:space="preserve">Mai</t>
  </si>
  <si>
    <t xml:space="preserve">Jun</t>
  </si>
  <si>
    <t xml:space="preserve">Jul</t>
  </si>
  <si>
    <t xml:space="preserve">Aoû</t>
  </si>
  <si>
    <t xml:space="preserve">Sep</t>
  </si>
  <si>
    <t xml:space="preserve">Oct</t>
  </si>
  <si>
    <t xml:space="preserve">Nov</t>
  </si>
  <si>
    <t xml:space="preserve">Déc</t>
  </si>
  <si>
    <t xml:space="preserve">DASHBOARD CASH FLOW 2026 — CONFIGURATION</t>
  </si>
  <si>
    <t xml:space="preserve">FinSight · Pilotage financier PME · finsight.zineinsight.com</t>
  </si>
  <si>
    <t xml:space="preserve">🏢  INFORMATIONS ENTREPRISE</t>
  </si>
  <si>
    <t xml:space="preserve">Nom de l'entreprise</t>
  </si>
  <si>
    <t xml:space="preserve">Ma PME SAS</t>
  </si>
  <si>
    <t xml:space="preserve">Votre raison sociale</t>
  </si>
  <si>
    <t xml:space="preserve">Secteur d'activité</t>
  </si>
  <si>
    <t xml:space="preserve">Services</t>
  </si>
  <si>
    <t xml:space="preserve">Services / Commerce / Industrie</t>
  </si>
  <si>
    <t xml:space="preserve">🏦  PARAMÈTRES TRÉSORERIE</t>
  </si>
  <si>
    <t xml:space="preserve">Solde trésorerie 01/01/2026</t>
  </si>
  <si>
    <t xml:space="preserve">Solde d'ouverture réel</t>
  </si>
  <si>
    <t xml:space="preserve">Seuil alerte trésorerie basse</t>
  </si>
  <si>
    <t xml:space="preserve">Alerte si solde &lt; ce montant</t>
  </si>
  <si>
    <t xml:space="preserve">Seuil trésorerie confort</t>
  </si>
  <si>
    <t xml:space="preserve">Zone de confort</t>
  </si>
  <si>
    <t xml:space="preserve">📊  PARAMÈTRES D'ANALYSE</t>
  </si>
  <si>
    <t xml:space="preserve">DSO moyen (jours)</t>
  </si>
  <si>
    <t xml:space="preserve">Délai encaissement clients</t>
  </si>
  <si>
    <t xml:space="preserve">DPO moyen (jours)</t>
  </si>
  <si>
    <t xml:space="preserve">Délai paiement fournisseurs</t>
  </si>
  <si>
    <t xml:space="preserve">Taux TVA collectée</t>
  </si>
  <si>
    <t xml:space="preserve">TVA sur ventes</t>
  </si>
  <si>
    <t xml:space="preserve">⚡  Cellules jaunes = INPUTS à modifier.
📊  Saisissez vos flux dans 'Flux Mensuels'.
🎯  Dashboard et Projection se calculent automatiquement.</t>
  </si>
  <si>
    <t xml:space="preserve">CASH FLOW — ENCAISSEMENTS &amp; DÉCAISSEMENTS MENSUELS</t>
  </si>
  <si>
    <t xml:space="preserve">RUBRIQUE</t>
  </si>
  <si>
    <t xml:space="preserve">TOTAL</t>
  </si>
  <si>
    <t xml:space="preserve">→  Colonnes jaunes = saisie mensuelle. Les totaux et indicateurs sont calculés automatiquement.</t>
  </si>
  <si>
    <t xml:space="preserve">  ENCAISSEMENTS</t>
  </si>
  <si>
    <t xml:space="preserve">Encaissements clients (CA HT)</t>
  </si>
  <si>
    <t xml:space="preserve">Avances &amp; acomptes reçus</t>
  </si>
  <si>
    <t xml:space="preserve">Autres encaissements (subventions, cessions…)</t>
  </si>
  <si>
    <t xml:space="preserve">▶ TOTAL ENCAISSEMENTS</t>
  </si>
  <si>
    <t xml:space="preserve">  DÉCAISSEMENTS — EXPLOITATION</t>
  </si>
  <si>
    <t xml:space="preserve">(-) Charges de personnel</t>
  </si>
  <si>
    <t xml:space="preserve">(-) Loyer &amp; charges locatives</t>
  </si>
  <si>
    <t xml:space="preserve">(-) Paiements fournisseurs</t>
  </si>
  <si>
    <t xml:space="preserve">(-) Impôts &amp; taxes (IS, TVA nette…)</t>
  </si>
  <si>
    <t xml:space="preserve">(-) Autres charges exploitation</t>
  </si>
  <si>
    <t xml:space="preserve">▶ TOTAL DÉCAISSEMENTS EXPLOITATION</t>
  </si>
  <si>
    <t xml:space="preserve">  DÉCAISSEMENTS — INVESTISSEMENT</t>
  </si>
  <si>
    <t xml:space="preserve">(-) Investissements / CAPEX</t>
  </si>
  <si>
    <t xml:space="preserve">(-) Remboursements d'emprunts</t>
  </si>
  <si>
    <t xml:space="preserve">▶ TOTAL DÉCAISSEMENTS INVESTISSEMENT</t>
  </si>
  <si>
    <t xml:space="preserve">  SYNTHÈSE TRÉSORERIE</t>
  </si>
  <si>
    <t xml:space="preserve">▶ FLUX NET DU MOIS</t>
  </si>
  <si>
    <t xml:space="preserve">▶ SOLDE EN FIN DE MOIS</t>
  </si>
  <si>
    <t xml:space="preserve">  Alerte seuil de sécurité</t>
  </si>
  <si>
    <t xml:space="preserve">PROJECTION TRÉSORERIE — 6 MOIS GLISSANTS</t>
  </si>
  <si>
    <t xml:space="preserve">SCÉNARIO</t>
  </si>
  <si>
    <t xml:space="preserve">M+1</t>
  </si>
  <si>
    <t xml:space="preserve">M+2</t>
  </si>
  <si>
    <t xml:space="preserve">M+3</t>
  </si>
  <si>
    <t xml:space="preserve">M+4</t>
  </si>
  <si>
    <t xml:space="preserve">M+5</t>
  </si>
  <si>
    <t xml:space="preserve">M+6</t>
  </si>
  <si>
    <t xml:space="preserve">Fin M+6</t>
  </si>
  <si>
    <t xml:space="preserve">→  Saisissez vos hypothèses de flux prévisionnels pour les 6 prochains mois.</t>
  </si>
  <si>
    <t xml:space="preserve">  SCÉNARIO BASE (hypothèses prévisionnelles)</t>
  </si>
  <si>
    <t xml:space="preserve">Encaissements prévisionnels</t>
  </si>
  <si>
    <t xml:space="preserve">Décaissements prévisionnels</t>
  </si>
  <si>
    <t xml:space="preserve">Flux net mensuel</t>
  </si>
  <si>
    <t xml:space="preserve">Solde prévisionnel fin de mois</t>
  </si>
  <si>
    <t xml:space="preserve">Alerte seuil</t>
  </si>
  <si>
    <t xml:space="preserve">  SCÉNARIO PESSIMISTE (−20 % encaissements)</t>
  </si>
  <si>
    <t xml:space="preserve">Encaissements (×0.8)</t>
  </si>
  <si>
    <t xml:space="preserve">Solde pessimiste fin de mois</t>
  </si>
  <si>
    <t xml:space="preserve">  SCÉNARIO OPTIMISTE (+15 % encaissements)</t>
  </si>
  <si>
    <t xml:space="preserve">Encaissements (×1.15)</t>
  </si>
  <si>
    <t xml:space="preserve">Solde optimiste fin de mois</t>
  </si>
  <si>
    <t xml:space="preserve">📌  MODE D'EMPLOI
1. Saisissez vos encaissements et décaissements prévisionnels mois par mois.
2. Les scénarios pessimiste (−20 %) et optimiste (+15 %) se calculent automatiquement.
3. L'alerte passe en 🚨 si le solde prévisionnel passe sous le seuil configuré.
💡  FinSight — finsight.zineinsight.com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</si>
</sst>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;\(#,##0&quot; €)&quot;;\-"/>
    <numFmt numFmtId="166" formatCode="#,##0;\(#,##0\);\-"/>
    <numFmt numFmtId="167" formatCode="@"/>
    <numFmt numFmtId="168" formatCode="0.0%;\(0.0%\);\-"/>
    <numFmt numFmtId="169" formatCode="#,##0&quot; €&quot;;\(#,##0&quot; €)&quot;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C9A84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8"/>
      <color rgb="FF9CA3A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18"/>
      <color rgb="FF1B2B4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DC3545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"/>
      <color rgb="FF9CA3A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2D2D2D"/>
      <name val="Arial"/>
      <family val="0"/>
      <charset val="1"/>
    </font>
    <font>
      <b val="true"/>
      <sz val="10"/>
      <color rgb="FF721C24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0"/>
      <color rgb="FFCC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B4B"/>
        <bgColor rgb="FF2D2D2D"/>
      </patternFill>
    </fill>
    <fill>
      <patternFill patternType="solid">
        <fgColor rgb="FFC9A84C"/>
        <bgColor rgb="FF9CA3AF"/>
      </patternFill>
    </fill>
    <fill>
      <patternFill patternType="solid">
        <fgColor rgb="FF155724"/>
        <bgColor rgb="FF333300"/>
      </patternFill>
    </fill>
    <fill>
      <patternFill patternType="solid">
        <fgColor rgb="FFF5F5F5"/>
        <bgColor rgb="FFFFF9E6"/>
      </patternFill>
    </fill>
    <fill>
      <patternFill patternType="solid">
        <fgColor rgb="FFFFFFFF"/>
        <bgColor rgb="FFFFF9E6"/>
      </patternFill>
    </fill>
    <fill>
      <patternFill patternType="solid">
        <fgColor rgb="FFFFF9E6"/>
        <bgColor rgb="FFFFF5D6"/>
      </patternFill>
    </fill>
    <fill>
      <patternFill patternType="solid">
        <fgColor rgb="FFFFF5D6"/>
        <bgColor rgb="FFFFF9E6"/>
      </patternFill>
    </fill>
    <fill>
      <patternFill patternType="solid">
        <fgColor rgb="FFD4EDDA"/>
        <bgColor rgb="FFDDDDDD"/>
      </patternFill>
    </fill>
    <fill>
      <patternFill patternType="solid">
        <fgColor rgb="FFF8D7DA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C3545"/>
      <rgbColor rgb="FFFFF5D6"/>
      <rgbColor rgb="FFF5F5F5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9E6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C9A84C"/>
      <rgbColor rgb="FFFF6600"/>
      <rgbColor rgb="FF666699"/>
      <rgbColor rgb="FF9CA3AF"/>
      <rgbColor rgb="FF1B2B4B"/>
      <rgbColor rgb="FF339966"/>
      <rgbColor rgb="FF155724"/>
      <rgbColor rgb="FF333300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7" min="2" style="1" width="16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39.75" hidden="false" customHeight="true" outlineLevel="0" collapsed="false">
      <c r="A2" s="3" t="s">
        <v>0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</row>
    <row r="5" customFormat="false" ht="1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6" customFormat="false" ht="13.5" hidden="false" customHeight="true" outlineLevel="0" collapsed="false">
      <c r="A6" s="5" t="s">
        <v>2</v>
      </c>
      <c r="B6" s="5"/>
      <c r="C6" s="6" t="s">
        <v>3</v>
      </c>
      <c r="D6" s="6"/>
      <c r="E6" s="7" t="s">
        <v>4</v>
      </c>
      <c r="F6" s="7"/>
    </row>
    <row r="7" customFormat="false" ht="37.5" hidden="false" customHeight="true" outlineLevel="0" collapsed="false">
      <c r="A7" s="8" t="n">
        <f aca="false">'Flux Mensuels'!N11</f>
        <v>0</v>
      </c>
      <c r="B7" s="8"/>
      <c r="C7" s="9" t="n">
        <f aca="false">'Flux Mensuels'!N24</f>
        <v>0</v>
      </c>
      <c r="D7" s="9"/>
      <c r="E7" s="10" t="n">
        <f aca="false">'Flux Mensuels'!M25</f>
        <v>80000</v>
      </c>
      <c r="F7" s="10"/>
    </row>
    <row r="8" customFormat="false" ht="18" hidden="false" customHeight="true" outlineLevel="0" collapsed="false">
      <c r="A8" s="11" t="s">
        <v>5</v>
      </c>
      <c r="B8" s="11"/>
      <c r="C8" s="12" t="s">
        <v>6</v>
      </c>
      <c r="D8" s="12"/>
      <c r="E8" s="13" t="s">
        <v>7</v>
      </c>
      <c r="F8" s="13"/>
    </row>
    <row r="9" customFormat="false" ht="9.75" hidden="false" customHeight="true" outlineLevel="0" collapsed="false">
      <c r="A9" s="14"/>
      <c r="B9" s="14"/>
      <c r="C9" s="15"/>
      <c r="D9" s="15"/>
      <c r="E9" s="16"/>
      <c r="F9" s="16"/>
    </row>
    <row r="11" customFormat="false" ht="13.5" hidden="false" customHeight="true" outlineLevel="0" collapsed="false">
      <c r="A11" s="17" t="s">
        <v>8</v>
      </c>
      <c r="B11" s="17"/>
      <c r="C11" s="17" t="s">
        <v>9</v>
      </c>
      <c r="D11" s="17"/>
      <c r="E11" s="17" t="s">
        <v>10</v>
      </c>
      <c r="F11" s="17"/>
    </row>
    <row r="12" customFormat="false" ht="37.5" hidden="false" customHeight="true" outlineLevel="0" collapsed="false">
      <c r="A12" s="18" t="n">
        <f aca="false">Config!$B$11</f>
        <v>80000</v>
      </c>
      <c r="B12" s="18"/>
      <c r="C12" s="18" t="n">
        <f aca="false">Config!$B$12</f>
        <v>20000</v>
      </c>
      <c r="D12" s="18"/>
      <c r="E12" s="19" t="n">
        <f aca="false">COUNTIF('Flux Mensuels'!B26:M26,"🚨 ALERTE")</f>
        <v>0</v>
      </c>
      <c r="F12" s="19"/>
    </row>
    <row r="13" customFormat="false" ht="18" hidden="false" customHeight="true" outlineLevel="0" collapsed="false">
      <c r="A13" s="20" t="s">
        <v>11</v>
      </c>
      <c r="B13" s="20"/>
      <c r="C13" s="20" t="s">
        <v>12</v>
      </c>
      <c r="D13" s="20"/>
      <c r="E13" s="20" t="s">
        <v>13</v>
      </c>
      <c r="F13" s="20"/>
    </row>
    <row r="14" customFormat="false" ht="9.75" hidden="false" customHeight="true" outlineLevel="0" collapsed="false">
      <c r="A14" s="21"/>
      <c r="B14" s="21"/>
      <c r="C14" s="21"/>
      <c r="D14" s="21"/>
      <c r="E14" s="21"/>
      <c r="F14" s="21"/>
    </row>
    <row r="17" customFormat="false" ht="15" hidden="false" customHeight="true" outlineLevel="0" collapsed="false">
      <c r="A17" s="4" t="s">
        <v>14</v>
      </c>
      <c r="B17" s="4"/>
      <c r="C17" s="4"/>
      <c r="D17" s="4"/>
      <c r="E17" s="4"/>
      <c r="F17" s="4"/>
      <c r="G17" s="4"/>
    </row>
    <row r="18" customFormat="false" ht="21.75" hidden="false" customHeight="true" outlineLevel="0" collapsed="false">
      <c r="A18" s="22" t="s">
        <v>15</v>
      </c>
      <c r="B18" s="22" t="s">
        <v>16</v>
      </c>
      <c r="C18" s="22" t="s">
        <v>17</v>
      </c>
      <c r="D18" s="22" t="s">
        <v>18</v>
      </c>
      <c r="E18" s="22" t="s">
        <v>19</v>
      </c>
      <c r="F18" s="22" t="s">
        <v>20</v>
      </c>
      <c r="G18" s="2"/>
    </row>
    <row r="19" customFormat="false" ht="19.5" hidden="false" customHeight="true" outlineLevel="0" collapsed="false">
      <c r="A19" s="23" t="s">
        <v>21</v>
      </c>
      <c r="B19" s="24" t="n">
        <f aca="false">'Flux Mensuels'!B11</f>
        <v>0</v>
      </c>
      <c r="C19" s="24" t="n">
        <f aca="false">'Flux Mensuels'!B18+'Flux Mensuels'!B22</f>
        <v>0</v>
      </c>
      <c r="D19" s="25" t="n">
        <f aca="false">'Flux Mensuels'!B24</f>
        <v>0</v>
      </c>
      <c r="E19" s="26" t="n">
        <f aca="false">'Flux Mensuels'!B25</f>
        <v>80000</v>
      </c>
      <c r="F19" s="27" t="str">
        <f aca="false">'Flux Mensuels'!B26</f>
        <v>✅ OK</v>
      </c>
      <c r="G19" s="28"/>
    </row>
    <row r="20" customFormat="false" ht="19.5" hidden="false" customHeight="true" outlineLevel="0" collapsed="false">
      <c r="A20" s="23" t="s">
        <v>22</v>
      </c>
      <c r="B20" s="29" t="n">
        <f aca="false">'Flux Mensuels'!C11</f>
        <v>0</v>
      </c>
      <c r="C20" s="29" t="n">
        <f aca="false">'Flux Mensuels'!C18+'Flux Mensuels'!C22</f>
        <v>0</v>
      </c>
      <c r="D20" s="30" t="n">
        <f aca="false">'Flux Mensuels'!C24</f>
        <v>0</v>
      </c>
      <c r="E20" s="31" t="n">
        <f aca="false">'Flux Mensuels'!C25</f>
        <v>80000</v>
      </c>
      <c r="F20" s="32" t="str">
        <f aca="false">'Flux Mensuels'!C26</f>
        <v>✅ OK</v>
      </c>
      <c r="G20" s="33"/>
    </row>
    <row r="21" customFormat="false" ht="19.5" hidden="false" customHeight="true" outlineLevel="0" collapsed="false">
      <c r="A21" s="23" t="s">
        <v>23</v>
      </c>
      <c r="B21" s="24" t="n">
        <f aca="false">'Flux Mensuels'!D11</f>
        <v>0</v>
      </c>
      <c r="C21" s="24" t="n">
        <f aca="false">'Flux Mensuels'!D18+'Flux Mensuels'!D22</f>
        <v>0</v>
      </c>
      <c r="D21" s="25" t="n">
        <f aca="false">'Flux Mensuels'!D24</f>
        <v>0</v>
      </c>
      <c r="E21" s="26" t="n">
        <f aca="false">'Flux Mensuels'!D25</f>
        <v>80000</v>
      </c>
      <c r="F21" s="27" t="str">
        <f aca="false">'Flux Mensuels'!D26</f>
        <v>✅ OK</v>
      </c>
      <c r="G21" s="28"/>
    </row>
    <row r="22" customFormat="false" ht="19.5" hidden="false" customHeight="true" outlineLevel="0" collapsed="false">
      <c r="A22" s="23" t="s">
        <v>24</v>
      </c>
      <c r="B22" s="29" t="n">
        <f aca="false">'Flux Mensuels'!E11</f>
        <v>0</v>
      </c>
      <c r="C22" s="29" t="n">
        <f aca="false">'Flux Mensuels'!E18+'Flux Mensuels'!E22</f>
        <v>0</v>
      </c>
      <c r="D22" s="30" t="n">
        <f aca="false">'Flux Mensuels'!E24</f>
        <v>0</v>
      </c>
      <c r="E22" s="31" t="n">
        <f aca="false">'Flux Mensuels'!E25</f>
        <v>80000</v>
      </c>
      <c r="F22" s="32" t="str">
        <f aca="false">'Flux Mensuels'!E26</f>
        <v>✅ OK</v>
      </c>
      <c r="G22" s="33"/>
    </row>
    <row r="23" customFormat="false" ht="19.5" hidden="false" customHeight="true" outlineLevel="0" collapsed="false">
      <c r="A23" s="23" t="s">
        <v>25</v>
      </c>
      <c r="B23" s="24" t="n">
        <f aca="false">'Flux Mensuels'!F11</f>
        <v>0</v>
      </c>
      <c r="C23" s="24" t="n">
        <f aca="false">'Flux Mensuels'!F18+'Flux Mensuels'!F22</f>
        <v>0</v>
      </c>
      <c r="D23" s="25" t="n">
        <f aca="false">'Flux Mensuels'!F24</f>
        <v>0</v>
      </c>
      <c r="E23" s="26" t="n">
        <f aca="false">'Flux Mensuels'!F25</f>
        <v>80000</v>
      </c>
      <c r="F23" s="27" t="str">
        <f aca="false">'Flux Mensuels'!F26</f>
        <v>✅ OK</v>
      </c>
      <c r="G23" s="28"/>
    </row>
    <row r="24" customFormat="false" ht="19.5" hidden="false" customHeight="true" outlineLevel="0" collapsed="false">
      <c r="A24" s="23" t="s">
        <v>26</v>
      </c>
      <c r="B24" s="29" t="n">
        <f aca="false">'Flux Mensuels'!G11</f>
        <v>0</v>
      </c>
      <c r="C24" s="29" t="n">
        <f aca="false">'Flux Mensuels'!G18+'Flux Mensuels'!G22</f>
        <v>0</v>
      </c>
      <c r="D24" s="30" t="n">
        <f aca="false">'Flux Mensuels'!G24</f>
        <v>0</v>
      </c>
      <c r="E24" s="31" t="n">
        <f aca="false">'Flux Mensuels'!G25</f>
        <v>80000</v>
      </c>
      <c r="F24" s="32" t="str">
        <f aca="false">'Flux Mensuels'!G26</f>
        <v>✅ OK</v>
      </c>
      <c r="G24" s="33"/>
    </row>
    <row r="25" customFormat="false" ht="19.5" hidden="false" customHeight="true" outlineLevel="0" collapsed="false">
      <c r="A25" s="23" t="s">
        <v>27</v>
      </c>
      <c r="B25" s="24" t="n">
        <f aca="false">'Flux Mensuels'!H11</f>
        <v>0</v>
      </c>
      <c r="C25" s="24" t="n">
        <f aca="false">'Flux Mensuels'!H18+'Flux Mensuels'!H22</f>
        <v>0</v>
      </c>
      <c r="D25" s="25" t="n">
        <f aca="false">'Flux Mensuels'!H24</f>
        <v>0</v>
      </c>
      <c r="E25" s="26" t="n">
        <f aca="false">'Flux Mensuels'!H25</f>
        <v>80000</v>
      </c>
      <c r="F25" s="27" t="str">
        <f aca="false">'Flux Mensuels'!H26</f>
        <v>✅ OK</v>
      </c>
      <c r="G25" s="28"/>
    </row>
    <row r="26" customFormat="false" ht="19.5" hidden="false" customHeight="true" outlineLevel="0" collapsed="false">
      <c r="A26" s="23" t="s">
        <v>28</v>
      </c>
      <c r="B26" s="29" t="n">
        <f aca="false">'Flux Mensuels'!I11</f>
        <v>0</v>
      </c>
      <c r="C26" s="29" t="n">
        <f aca="false">'Flux Mensuels'!I18+'Flux Mensuels'!I22</f>
        <v>0</v>
      </c>
      <c r="D26" s="30" t="n">
        <f aca="false">'Flux Mensuels'!I24</f>
        <v>0</v>
      </c>
      <c r="E26" s="31" t="n">
        <f aca="false">'Flux Mensuels'!I25</f>
        <v>80000</v>
      </c>
      <c r="F26" s="32" t="str">
        <f aca="false">'Flux Mensuels'!I26</f>
        <v>✅ OK</v>
      </c>
      <c r="G26" s="33"/>
    </row>
    <row r="27" customFormat="false" ht="19.5" hidden="false" customHeight="true" outlineLevel="0" collapsed="false">
      <c r="A27" s="23" t="s">
        <v>29</v>
      </c>
      <c r="B27" s="24" t="n">
        <f aca="false">'Flux Mensuels'!J11</f>
        <v>0</v>
      </c>
      <c r="C27" s="24" t="n">
        <f aca="false">'Flux Mensuels'!J18+'Flux Mensuels'!J22</f>
        <v>0</v>
      </c>
      <c r="D27" s="25" t="n">
        <f aca="false">'Flux Mensuels'!J24</f>
        <v>0</v>
      </c>
      <c r="E27" s="26" t="n">
        <f aca="false">'Flux Mensuels'!J25</f>
        <v>80000</v>
      </c>
      <c r="F27" s="27" t="str">
        <f aca="false">'Flux Mensuels'!J26</f>
        <v>✅ OK</v>
      </c>
      <c r="G27" s="28"/>
    </row>
    <row r="28" customFormat="false" ht="19.5" hidden="false" customHeight="true" outlineLevel="0" collapsed="false">
      <c r="A28" s="23" t="s">
        <v>30</v>
      </c>
      <c r="B28" s="29" t="n">
        <f aca="false">'Flux Mensuels'!K11</f>
        <v>0</v>
      </c>
      <c r="C28" s="29" t="n">
        <f aca="false">'Flux Mensuels'!K18+'Flux Mensuels'!K22</f>
        <v>0</v>
      </c>
      <c r="D28" s="30" t="n">
        <f aca="false">'Flux Mensuels'!K24</f>
        <v>0</v>
      </c>
      <c r="E28" s="31" t="n">
        <f aca="false">'Flux Mensuels'!K25</f>
        <v>80000</v>
      </c>
      <c r="F28" s="32" t="str">
        <f aca="false">'Flux Mensuels'!K26</f>
        <v>✅ OK</v>
      </c>
      <c r="G28" s="33"/>
    </row>
    <row r="29" customFormat="false" ht="19.5" hidden="false" customHeight="true" outlineLevel="0" collapsed="false">
      <c r="A29" s="23" t="s">
        <v>31</v>
      </c>
      <c r="B29" s="24" t="n">
        <f aca="false">'Flux Mensuels'!L11</f>
        <v>0</v>
      </c>
      <c r="C29" s="24" t="n">
        <f aca="false">'Flux Mensuels'!L18+'Flux Mensuels'!L22</f>
        <v>0</v>
      </c>
      <c r="D29" s="25" t="n">
        <f aca="false">'Flux Mensuels'!L24</f>
        <v>0</v>
      </c>
      <c r="E29" s="26" t="n">
        <f aca="false">'Flux Mensuels'!L25</f>
        <v>80000</v>
      </c>
      <c r="F29" s="27" t="str">
        <f aca="false">'Flux Mensuels'!L26</f>
        <v>✅ OK</v>
      </c>
      <c r="G29" s="28"/>
    </row>
    <row r="30" customFormat="false" ht="19.5" hidden="false" customHeight="true" outlineLevel="0" collapsed="false">
      <c r="A30" s="23" t="s">
        <v>32</v>
      </c>
      <c r="B30" s="29" t="n">
        <f aca="false">'Flux Mensuels'!M11</f>
        <v>0</v>
      </c>
      <c r="C30" s="29" t="n">
        <f aca="false">'Flux Mensuels'!M18+'Flux Mensuels'!M22</f>
        <v>0</v>
      </c>
      <c r="D30" s="30" t="n">
        <f aca="false">'Flux Mensuels'!M24</f>
        <v>0</v>
      </c>
      <c r="E30" s="31" t="n">
        <f aca="false">'Flux Mensuels'!M25</f>
        <v>80000</v>
      </c>
      <c r="F30" s="32" t="str">
        <f aca="false">'Flux Mensuels'!M26</f>
        <v>✅ OK</v>
      </c>
      <c r="G30" s="33"/>
    </row>
  </sheetData>
  <mergeCells count="27">
    <mergeCell ref="A2:G2"/>
    <mergeCell ref="A5:G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3" min="3" style="1" width="28"/>
  </cols>
  <sheetData>
    <row r="1" customFormat="false" ht="15" hidden="false" customHeight="true" outlineLevel="0" collapsed="false">
      <c r="A1" s="2"/>
      <c r="B1" s="2"/>
      <c r="C1" s="2"/>
    </row>
    <row r="2" customFormat="false" ht="39.75" hidden="false" customHeight="true" outlineLevel="0" collapsed="false">
      <c r="A2" s="34" t="s">
        <v>33</v>
      </c>
      <c r="B2" s="34"/>
      <c r="C2" s="34"/>
    </row>
    <row r="3" customFormat="false" ht="15" hidden="false" customHeight="true" outlineLevel="0" collapsed="false">
      <c r="A3" s="2"/>
      <c r="B3" s="2"/>
      <c r="C3" s="2"/>
    </row>
    <row r="4" customFormat="false" ht="15" hidden="false" customHeight="true" outlineLevel="0" collapsed="false">
      <c r="A4" s="35" t="s">
        <v>34</v>
      </c>
      <c r="B4" s="35"/>
      <c r="C4" s="35"/>
    </row>
    <row r="6" customFormat="false" ht="21.75" hidden="false" customHeight="true" outlineLevel="0" collapsed="false">
      <c r="A6" s="4" t="s">
        <v>35</v>
      </c>
      <c r="B6" s="4"/>
      <c r="C6" s="4"/>
    </row>
    <row r="7" customFormat="false" ht="19.5" hidden="false" customHeight="true" outlineLevel="0" collapsed="false">
      <c r="A7" s="36" t="s">
        <v>36</v>
      </c>
      <c r="B7" s="37" t="s">
        <v>37</v>
      </c>
      <c r="C7" s="38" t="s">
        <v>38</v>
      </c>
    </row>
    <row r="8" customFormat="false" ht="19.5" hidden="false" customHeight="true" outlineLevel="0" collapsed="false">
      <c r="A8" s="39" t="s">
        <v>39</v>
      </c>
      <c r="B8" s="37" t="s">
        <v>40</v>
      </c>
      <c r="C8" s="40" t="s">
        <v>41</v>
      </c>
    </row>
    <row r="10" customFormat="false" ht="21.75" hidden="false" customHeight="true" outlineLevel="0" collapsed="false">
      <c r="A10" s="4" t="s">
        <v>42</v>
      </c>
      <c r="B10" s="4"/>
      <c r="C10" s="4"/>
    </row>
    <row r="11" customFormat="false" ht="19.5" hidden="false" customHeight="true" outlineLevel="0" collapsed="false">
      <c r="A11" s="36" t="s">
        <v>43</v>
      </c>
      <c r="B11" s="41" t="n">
        <v>80000</v>
      </c>
      <c r="C11" s="38" t="s">
        <v>44</v>
      </c>
    </row>
    <row r="12" customFormat="false" ht="19.5" hidden="false" customHeight="true" outlineLevel="0" collapsed="false">
      <c r="A12" s="39" t="s">
        <v>45</v>
      </c>
      <c r="B12" s="41" t="n">
        <v>20000</v>
      </c>
      <c r="C12" s="40" t="s">
        <v>46</v>
      </c>
    </row>
    <row r="13" customFormat="false" ht="19.5" hidden="false" customHeight="true" outlineLevel="0" collapsed="false">
      <c r="A13" s="36" t="s">
        <v>47</v>
      </c>
      <c r="B13" s="41" t="n">
        <v>50000</v>
      </c>
      <c r="C13" s="38" t="s">
        <v>48</v>
      </c>
    </row>
    <row r="15" customFormat="false" ht="21.75" hidden="false" customHeight="true" outlineLevel="0" collapsed="false">
      <c r="A15" s="4" t="s">
        <v>49</v>
      </c>
      <c r="B15" s="4"/>
      <c r="C15" s="4"/>
    </row>
    <row r="16" customFormat="false" ht="19.5" hidden="false" customHeight="true" outlineLevel="0" collapsed="false">
      <c r="A16" s="39" t="s">
        <v>50</v>
      </c>
      <c r="B16" s="42" t="n">
        <v>45</v>
      </c>
      <c r="C16" s="40" t="s">
        <v>51</v>
      </c>
    </row>
    <row r="17" customFormat="false" ht="19.5" hidden="false" customHeight="true" outlineLevel="0" collapsed="false">
      <c r="A17" s="36" t="s">
        <v>52</v>
      </c>
      <c r="B17" s="42" t="n">
        <v>30</v>
      </c>
      <c r="C17" s="38" t="s">
        <v>53</v>
      </c>
    </row>
    <row r="18" customFormat="false" ht="19.5" hidden="false" customHeight="true" outlineLevel="0" collapsed="false">
      <c r="A18" s="39" t="s">
        <v>54</v>
      </c>
      <c r="B18" s="43" t="n">
        <v>0.2</v>
      </c>
      <c r="C18" s="40" t="s">
        <v>55</v>
      </c>
    </row>
    <row r="21" customFormat="false" ht="60" hidden="false" customHeight="true" outlineLevel="0" collapsed="false">
      <c r="A21" s="44" t="s">
        <v>56</v>
      </c>
      <c r="B21" s="44"/>
      <c r="C21" s="44"/>
    </row>
  </sheetData>
  <mergeCells count="6">
    <mergeCell ref="A2:C2"/>
    <mergeCell ref="A4:C4"/>
    <mergeCell ref="A6:C6"/>
    <mergeCell ref="A10:C10"/>
    <mergeCell ref="A15:C15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3" min="2" style="1" width="11"/>
    <col collapsed="false" customWidth="true" hidden="false" outlineLevel="0" max="14" min="14" style="1" width="13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9.75" hidden="false" customHeight="true" outlineLevel="0" collapsed="false">
      <c r="A2" s="3" t="s">
        <v>57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27.75" hidden="false" customHeight="true" outlineLevel="0" collapsed="false">
      <c r="A5" s="22" t="s">
        <v>58</v>
      </c>
      <c r="B5" s="22" t="s">
        <v>21</v>
      </c>
      <c r="C5" s="22" t="s">
        <v>22</v>
      </c>
      <c r="D5" s="22" t="s">
        <v>23</v>
      </c>
      <c r="E5" s="22" t="s">
        <v>24</v>
      </c>
      <c r="F5" s="22" t="s">
        <v>25</v>
      </c>
      <c r="G5" s="22" t="s">
        <v>26</v>
      </c>
      <c r="H5" s="22" t="s">
        <v>27</v>
      </c>
      <c r="I5" s="22" t="s">
        <v>28</v>
      </c>
      <c r="J5" s="22" t="s">
        <v>29</v>
      </c>
      <c r="K5" s="22" t="s">
        <v>30</v>
      </c>
      <c r="L5" s="22" t="s">
        <v>31</v>
      </c>
      <c r="M5" s="22" t="s">
        <v>32</v>
      </c>
      <c r="N5" s="45" t="s">
        <v>59</v>
      </c>
    </row>
    <row r="6" customFormat="false" ht="15.75" hidden="false" customHeight="true" outlineLevel="0" collapsed="false">
      <c r="A6" s="46" t="s">
        <v>60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</row>
    <row r="7" customFormat="false" ht="21.75" hidden="false" customHeight="true" outlineLevel="0" collapsed="false">
      <c r="A7" s="4" t="s">
        <v>61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19.5" hidden="false" customHeight="true" outlineLevel="0" collapsed="false">
      <c r="A8" s="39" t="s">
        <v>62</v>
      </c>
      <c r="B8" s="41" t="n">
        <v>0</v>
      </c>
      <c r="C8" s="41" t="n">
        <v>0</v>
      </c>
      <c r="D8" s="41" t="n">
        <v>0</v>
      </c>
      <c r="E8" s="41" t="n">
        <v>0</v>
      </c>
      <c r="F8" s="41" t="n">
        <v>0</v>
      </c>
      <c r="G8" s="41" t="n">
        <v>0</v>
      </c>
      <c r="H8" s="41" t="n">
        <v>0</v>
      </c>
      <c r="I8" s="41" t="n">
        <v>0</v>
      </c>
      <c r="J8" s="41" t="n">
        <v>0</v>
      </c>
      <c r="K8" s="41" t="n">
        <v>0</v>
      </c>
      <c r="L8" s="41" t="n">
        <v>0</v>
      </c>
      <c r="M8" s="41" t="n">
        <v>0</v>
      </c>
      <c r="N8" s="47" t="n">
        <f aca="false">SUM(B8:M8)</f>
        <v>0</v>
      </c>
    </row>
    <row r="9" customFormat="false" ht="19.5" hidden="false" customHeight="true" outlineLevel="0" collapsed="false">
      <c r="A9" s="36" t="s">
        <v>63</v>
      </c>
      <c r="B9" s="41" t="n">
        <v>0</v>
      </c>
      <c r="C9" s="41" t="n">
        <v>0</v>
      </c>
      <c r="D9" s="41" t="n">
        <v>0</v>
      </c>
      <c r="E9" s="41" t="n">
        <v>0</v>
      </c>
      <c r="F9" s="41" t="n">
        <v>0</v>
      </c>
      <c r="G9" s="41" t="n">
        <v>0</v>
      </c>
      <c r="H9" s="41" t="n">
        <v>0</v>
      </c>
      <c r="I9" s="41" t="n">
        <v>0</v>
      </c>
      <c r="J9" s="41" t="n">
        <v>0</v>
      </c>
      <c r="K9" s="41" t="n">
        <v>0</v>
      </c>
      <c r="L9" s="41" t="n">
        <v>0</v>
      </c>
      <c r="M9" s="41" t="n">
        <v>0</v>
      </c>
      <c r="N9" s="47" t="n">
        <f aca="false">SUM(B9:M9)</f>
        <v>0</v>
      </c>
    </row>
    <row r="10" customFormat="false" ht="19.5" hidden="false" customHeight="true" outlineLevel="0" collapsed="false">
      <c r="A10" s="39" t="s">
        <v>64</v>
      </c>
      <c r="B10" s="41" t="n">
        <v>0</v>
      </c>
      <c r="C10" s="41" t="n">
        <v>0</v>
      </c>
      <c r="D10" s="41" t="n">
        <v>0</v>
      </c>
      <c r="E10" s="41" t="n">
        <v>0</v>
      </c>
      <c r="F10" s="41" t="n">
        <v>0</v>
      </c>
      <c r="G10" s="41" t="n">
        <v>0</v>
      </c>
      <c r="H10" s="41" t="n">
        <v>0</v>
      </c>
      <c r="I10" s="41" t="n">
        <v>0</v>
      </c>
      <c r="J10" s="41" t="n">
        <v>0</v>
      </c>
      <c r="K10" s="41" t="n">
        <v>0</v>
      </c>
      <c r="L10" s="41" t="n">
        <v>0</v>
      </c>
      <c r="M10" s="41" t="n">
        <v>0</v>
      </c>
      <c r="N10" s="47" t="n">
        <f aca="false">SUM(B10:M10)</f>
        <v>0</v>
      </c>
    </row>
    <row r="11" customFormat="false" ht="19.5" hidden="false" customHeight="true" outlineLevel="0" collapsed="false">
      <c r="A11" s="48" t="s">
        <v>65</v>
      </c>
      <c r="B11" s="49" t="n">
        <f aca="false">B8+B9+B10</f>
        <v>0</v>
      </c>
      <c r="C11" s="49" t="n">
        <f aca="false">C8+C9+C10</f>
        <v>0</v>
      </c>
      <c r="D11" s="49" t="n">
        <f aca="false">D8+D9+D10</f>
        <v>0</v>
      </c>
      <c r="E11" s="49" t="n">
        <f aca="false">E8+E9+E10</f>
        <v>0</v>
      </c>
      <c r="F11" s="49" t="n">
        <f aca="false">F8+F9+F10</f>
        <v>0</v>
      </c>
      <c r="G11" s="49" t="n">
        <f aca="false">G8+G9+G10</f>
        <v>0</v>
      </c>
      <c r="H11" s="49" t="n">
        <f aca="false">H8+H9+H10</f>
        <v>0</v>
      </c>
      <c r="I11" s="49" t="n">
        <f aca="false">I8+I9+I10</f>
        <v>0</v>
      </c>
      <c r="J11" s="49" t="n">
        <f aca="false">J8+J9+J10</f>
        <v>0</v>
      </c>
      <c r="K11" s="49" t="n">
        <f aca="false">K8+K9+K10</f>
        <v>0</v>
      </c>
      <c r="L11" s="49" t="n">
        <f aca="false">L8+L9+L10</f>
        <v>0</v>
      </c>
      <c r="M11" s="49" t="n">
        <f aca="false">M8+M9+M10</f>
        <v>0</v>
      </c>
      <c r="N11" s="49" t="n">
        <f aca="false">SUM(B11:M11)</f>
        <v>0</v>
      </c>
    </row>
    <row r="12" customFormat="false" ht="21.75" hidden="false" customHeight="true" outlineLevel="0" collapsed="false">
      <c r="A12" s="4" t="s">
        <v>66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19.5" hidden="false" customHeight="true" outlineLevel="0" collapsed="false">
      <c r="A13" s="36" t="s">
        <v>67</v>
      </c>
      <c r="B13" s="41" t="n">
        <v>0</v>
      </c>
      <c r="C13" s="41" t="n">
        <v>0</v>
      </c>
      <c r="D13" s="41" t="n">
        <v>0</v>
      </c>
      <c r="E13" s="41" t="n">
        <v>0</v>
      </c>
      <c r="F13" s="41" t="n">
        <v>0</v>
      </c>
      <c r="G13" s="41" t="n">
        <v>0</v>
      </c>
      <c r="H13" s="41" t="n">
        <v>0</v>
      </c>
      <c r="I13" s="41" t="n">
        <v>0</v>
      </c>
      <c r="J13" s="41" t="n">
        <v>0</v>
      </c>
      <c r="K13" s="41" t="n">
        <v>0</v>
      </c>
      <c r="L13" s="41" t="n">
        <v>0</v>
      </c>
      <c r="M13" s="41" t="n">
        <v>0</v>
      </c>
      <c r="N13" s="47" t="n">
        <f aca="false">SUM(B13:M13)</f>
        <v>0</v>
      </c>
    </row>
    <row r="14" customFormat="false" ht="19.5" hidden="false" customHeight="true" outlineLevel="0" collapsed="false">
      <c r="A14" s="39" t="s">
        <v>68</v>
      </c>
      <c r="B14" s="41" t="n">
        <v>0</v>
      </c>
      <c r="C14" s="41" t="n">
        <v>0</v>
      </c>
      <c r="D14" s="41" t="n">
        <v>0</v>
      </c>
      <c r="E14" s="41" t="n">
        <v>0</v>
      </c>
      <c r="F14" s="41" t="n">
        <v>0</v>
      </c>
      <c r="G14" s="41" t="n">
        <v>0</v>
      </c>
      <c r="H14" s="41" t="n">
        <v>0</v>
      </c>
      <c r="I14" s="41" t="n">
        <v>0</v>
      </c>
      <c r="J14" s="41" t="n">
        <v>0</v>
      </c>
      <c r="K14" s="41" t="n">
        <v>0</v>
      </c>
      <c r="L14" s="41" t="n">
        <v>0</v>
      </c>
      <c r="M14" s="41" t="n">
        <v>0</v>
      </c>
      <c r="N14" s="47" t="n">
        <f aca="false">SUM(B14:M14)</f>
        <v>0</v>
      </c>
    </row>
    <row r="15" customFormat="false" ht="19.5" hidden="false" customHeight="true" outlineLevel="0" collapsed="false">
      <c r="A15" s="36" t="s">
        <v>69</v>
      </c>
      <c r="B15" s="41" t="n">
        <v>0</v>
      </c>
      <c r="C15" s="41" t="n">
        <v>0</v>
      </c>
      <c r="D15" s="41" t="n">
        <v>0</v>
      </c>
      <c r="E15" s="41" t="n">
        <v>0</v>
      </c>
      <c r="F15" s="41" t="n">
        <v>0</v>
      </c>
      <c r="G15" s="41" t="n">
        <v>0</v>
      </c>
      <c r="H15" s="41" t="n">
        <v>0</v>
      </c>
      <c r="I15" s="41" t="n">
        <v>0</v>
      </c>
      <c r="J15" s="41" t="n">
        <v>0</v>
      </c>
      <c r="K15" s="41" t="n">
        <v>0</v>
      </c>
      <c r="L15" s="41" t="n">
        <v>0</v>
      </c>
      <c r="M15" s="41" t="n">
        <v>0</v>
      </c>
      <c r="N15" s="47" t="n">
        <f aca="false">SUM(B15:M15)</f>
        <v>0</v>
      </c>
    </row>
    <row r="16" customFormat="false" ht="19.5" hidden="false" customHeight="true" outlineLevel="0" collapsed="false">
      <c r="A16" s="39" t="s">
        <v>70</v>
      </c>
      <c r="B16" s="41" t="n">
        <v>0</v>
      </c>
      <c r="C16" s="41" t="n">
        <v>0</v>
      </c>
      <c r="D16" s="41" t="n">
        <v>0</v>
      </c>
      <c r="E16" s="41" t="n">
        <v>0</v>
      </c>
      <c r="F16" s="41" t="n">
        <v>0</v>
      </c>
      <c r="G16" s="41" t="n">
        <v>0</v>
      </c>
      <c r="H16" s="41" t="n">
        <v>0</v>
      </c>
      <c r="I16" s="41" t="n">
        <v>0</v>
      </c>
      <c r="J16" s="41" t="n">
        <v>0</v>
      </c>
      <c r="K16" s="41" t="n">
        <v>0</v>
      </c>
      <c r="L16" s="41" t="n">
        <v>0</v>
      </c>
      <c r="M16" s="41" t="n">
        <v>0</v>
      </c>
      <c r="N16" s="47" t="n">
        <f aca="false">SUM(B16:M16)</f>
        <v>0</v>
      </c>
    </row>
    <row r="17" customFormat="false" ht="19.5" hidden="false" customHeight="true" outlineLevel="0" collapsed="false">
      <c r="A17" s="36" t="s">
        <v>71</v>
      </c>
      <c r="B17" s="41" t="n">
        <v>0</v>
      </c>
      <c r="C17" s="41" t="n">
        <v>0</v>
      </c>
      <c r="D17" s="41" t="n">
        <v>0</v>
      </c>
      <c r="E17" s="41" t="n">
        <v>0</v>
      </c>
      <c r="F17" s="41" t="n">
        <v>0</v>
      </c>
      <c r="G17" s="41" t="n">
        <v>0</v>
      </c>
      <c r="H17" s="41" t="n">
        <v>0</v>
      </c>
      <c r="I17" s="41" t="n">
        <v>0</v>
      </c>
      <c r="J17" s="41" t="n">
        <v>0</v>
      </c>
      <c r="K17" s="41" t="n">
        <v>0</v>
      </c>
      <c r="L17" s="41" t="n">
        <v>0</v>
      </c>
      <c r="M17" s="41" t="n">
        <v>0</v>
      </c>
      <c r="N17" s="47" t="n">
        <f aca="false">SUM(B17:M17)</f>
        <v>0</v>
      </c>
    </row>
    <row r="18" customFormat="false" ht="19.5" hidden="false" customHeight="true" outlineLevel="0" collapsed="false">
      <c r="A18" s="50" t="s">
        <v>72</v>
      </c>
      <c r="B18" s="51" t="n">
        <f aca="false">B13+B14+B15+B16+B17</f>
        <v>0</v>
      </c>
      <c r="C18" s="51" t="n">
        <f aca="false">C13+C14+C15+C16+C17</f>
        <v>0</v>
      </c>
      <c r="D18" s="51" t="n">
        <f aca="false">D13+D14+D15+D16+D17</f>
        <v>0</v>
      </c>
      <c r="E18" s="51" t="n">
        <f aca="false">E13+E14+E15+E16+E17</f>
        <v>0</v>
      </c>
      <c r="F18" s="51" t="n">
        <f aca="false">F13+F14+F15+F16+F17</f>
        <v>0</v>
      </c>
      <c r="G18" s="51" t="n">
        <f aca="false">G13+G14+G15+G16+G17</f>
        <v>0</v>
      </c>
      <c r="H18" s="51" t="n">
        <f aca="false">H13+H14+H15+H16+H17</f>
        <v>0</v>
      </c>
      <c r="I18" s="51" t="n">
        <f aca="false">I13+I14+I15+I16+I17</f>
        <v>0</v>
      </c>
      <c r="J18" s="51" t="n">
        <f aca="false">J13+J14+J15+J16+J17</f>
        <v>0</v>
      </c>
      <c r="K18" s="51" t="n">
        <f aca="false">K13+K14+K15+K16+K17</f>
        <v>0</v>
      </c>
      <c r="L18" s="51" t="n">
        <f aca="false">L13+L14+L15+L16+L17</f>
        <v>0</v>
      </c>
      <c r="M18" s="51" t="n">
        <f aca="false">M13+M14+M15+M16+M17</f>
        <v>0</v>
      </c>
      <c r="N18" s="51" t="n">
        <f aca="false">SUM(B18:M18)</f>
        <v>0</v>
      </c>
    </row>
    <row r="19" customFormat="false" ht="21.75" hidden="false" customHeight="true" outlineLevel="0" collapsed="false">
      <c r="A19" s="4" t="s">
        <v>73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customFormat="false" ht="19.5" hidden="false" customHeight="true" outlineLevel="0" collapsed="false">
      <c r="A20" s="39" t="s">
        <v>74</v>
      </c>
      <c r="B20" s="41" t="n">
        <v>0</v>
      </c>
      <c r="C20" s="41" t="n">
        <v>0</v>
      </c>
      <c r="D20" s="41" t="n">
        <v>0</v>
      </c>
      <c r="E20" s="41" t="n">
        <v>0</v>
      </c>
      <c r="F20" s="41" t="n">
        <v>0</v>
      </c>
      <c r="G20" s="41" t="n">
        <v>0</v>
      </c>
      <c r="H20" s="41" t="n">
        <v>0</v>
      </c>
      <c r="I20" s="41" t="n">
        <v>0</v>
      </c>
      <c r="J20" s="41" t="n">
        <v>0</v>
      </c>
      <c r="K20" s="41" t="n">
        <v>0</v>
      </c>
      <c r="L20" s="41" t="n">
        <v>0</v>
      </c>
      <c r="M20" s="41" t="n">
        <v>0</v>
      </c>
      <c r="N20" s="47" t="n">
        <f aca="false">SUM(B20:M20)</f>
        <v>0</v>
      </c>
    </row>
    <row r="21" customFormat="false" ht="19.5" hidden="false" customHeight="true" outlineLevel="0" collapsed="false">
      <c r="A21" s="36" t="s">
        <v>75</v>
      </c>
      <c r="B21" s="41" t="n">
        <v>0</v>
      </c>
      <c r="C21" s="41" t="n">
        <v>0</v>
      </c>
      <c r="D21" s="41" t="n">
        <v>0</v>
      </c>
      <c r="E21" s="41" t="n">
        <v>0</v>
      </c>
      <c r="F21" s="41" t="n">
        <v>0</v>
      </c>
      <c r="G21" s="41" t="n">
        <v>0</v>
      </c>
      <c r="H21" s="41" t="n">
        <v>0</v>
      </c>
      <c r="I21" s="41" t="n">
        <v>0</v>
      </c>
      <c r="J21" s="41" t="n">
        <v>0</v>
      </c>
      <c r="K21" s="41" t="n">
        <v>0</v>
      </c>
      <c r="L21" s="41" t="n">
        <v>0</v>
      </c>
      <c r="M21" s="41" t="n">
        <v>0</v>
      </c>
      <c r="N21" s="47" t="n">
        <f aca="false">SUM(B21:M21)</f>
        <v>0</v>
      </c>
    </row>
    <row r="22" customFormat="false" ht="19.5" hidden="false" customHeight="true" outlineLevel="0" collapsed="false">
      <c r="A22" s="50" t="s">
        <v>76</v>
      </c>
      <c r="B22" s="51" t="n">
        <f aca="false">B20+B21</f>
        <v>0</v>
      </c>
      <c r="C22" s="51" t="n">
        <f aca="false">C20+C21</f>
        <v>0</v>
      </c>
      <c r="D22" s="51" t="n">
        <f aca="false">D20+D21</f>
        <v>0</v>
      </c>
      <c r="E22" s="51" t="n">
        <f aca="false">E20+E21</f>
        <v>0</v>
      </c>
      <c r="F22" s="51" t="n">
        <f aca="false">F20+F21</f>
        <v>0</v>
      </c>
      <c r="G22" s="51" t="n">
        <f aca="false">G20+G21</f>
        <v>0</v>
      </c>
      <c r="H22" s="51" t="n">
        <f aca="false">H20+H21</f>
        <v>0</v>
      </c>
      <c r="I22" s="51" t="n">
        <f aca="false">I20+I21</f>
        <v>0</v>
      </c>
      <c r="J22" s="51" t="n">
        <f aca="false">J20+J21</f>
        <v>0</v>
      </c>
      <c r="K22" s="51" t="n">
        <f aca="false">K20+K21</f>
        <v>0</v>
      </c>
      <c r="L22" s="51" t="n">
        <f aca="false">L20+L21</f>
        <v>0</v>
      </c>
      <c r="M22" s="51" t="n">
        <f aca="false">M20+M21</f>
        <v>0</v>
      </c>
      <c r="N22" s="51" t="n">
        <f aca="false">SUM(B22:M22)</f>
        <v>0</v>
      </c>
    </row>
    <row r="23" customFormat="false" ht="21.75" hidden="false" customHeight="true" outlineLevel="0" collapsed="false">
      <c r="A23" s="4" t="s">
        <v>77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customFormat="false" ht="19.5" hidden="false" customHeight="true" outlineLevel="0" collapsed="false">
      <c r="A24" s="52" t="s">
        <v>78</v>
      </c>
      <c r="B24" s="53" t="n">
        <f aca="false">B11-B18-B22</f>
        <v>0</v>
      </c>
      <c r="C24" s="53" t="n">
        <f aca="false">C11-C18-C22</f>
        <v>0</v>
      </c>
      <c r="D24" s="53" t="n">
        <f aca="false">D11-D18-D22</f>
        <v>0</v>
      </c>
      <c r="E24" s="53" t="n">
        <f aca="false">E11-E18-E22</f>
        <v>0</v>
      </c>
      <c r="F24" s="53" t="n">
        <f aca="false">F11-F18-F22</f>
        <v>0</v>
      </c>
      <c r="G24" s="53" t="n">
        <f aca="false">G11-G18-G22</f>
        <v>0</v>
      </c>
      <c r="H24" s="53" t="n">
        <f aca="false">H11-H18-H22</f>
        <v>0</v>
      </c>
      <c r="I24" s="53" t="n">
        <f aca="false">I11-I18-I22</f>
        <v>0</v>
      </c>
      <c r="J24" s="53" t="n">
        <f aca="false">J11-J18-J22</f>
        <v>0</v>
      </c>
      <c r="K24" s="53" t="n">
        <f aca="false">K11-K18-K22</f>
        <v>0</v>
      </c>
      <c r="L24" s="53" t="n">
        <f aca="false">L11-L18-L22</f>
        <v>0</v>
      </c>
      <c r="M24" s="53" t="n">
        <f aca="false">M11-M18-M22</f>
        <v>0</v>
      </c>
      <c r="N24" s="53" t="n">
        <f aca="false">SUM(B24:M24)</f>
        <v>0</v>
      </c>
    </row>
    <row r="25" customFormat="false" ht="19.5" hidden="false" customHeight="true" outlineLevel="0" collapsed="false">
      <c r="A25" s="54" t="s">
        <v>79</v>
      </c>
      <c r="B25" s="55" t="n">
        <f aca="false">Config!$B$11+B24</f>
        <v>80000</v>
      </c>
      <c r="C25" s="55" t="n">
        <f aca="false">B25+C24</f>
        <v>80000</v>
      </c>
      <c r="D25" s="55" t="n">
        <f aca="false">C25+D24</f>
        <v>80000</v>
      </c>
      <c r="E25" s="55" t="n">
        <f aca="false">D25+E24</f>
        <v>80000</v>
      </c>
      <c r="F25" s="55" t="n">
        <f aca="false">E25+F24</f>
        <v>80000</v>
      </c>
      <c r="G25" s="55" t="n">
        <f aca="false">F25+G24</f>
        <v>80000</v>
      </c>
      <c r="H25" s="55" t="n">
        <f aca="false">G25+H24</f>
        <v>80000</v>
      </c>
      <c r="I25" s="55" t="n">
        <f aca="false">H25+I24</f>
        <v>80000</v>
      </c>
      <c r="J25" s="55" t="n">
        <f aca="false">I25+J24</f>
        <v>80000</v>
      </c>
      <c r="K25" s="55" t="n">
        <f aca="false">J25+K24</f>
        <v>80000</v>
      </c>
      <c r="L25" s="55" t="n">
        <f aca="false">K25+L24</f>
        <v>80000</v>
      </c>
      <c r="M25" s="55" t="n">
        <f aca="false">L25+M24</f>
        <v>80000</v>
      </c>
      <c r="N25" s="55" t="n">
        <f aca="false">M25</f>
        <v>80000</v>
      </c>
    </row>
    <row r="26" customFormat="false" ht="19.5" hidden="false" customHeight="true" outlineLevel="0" collapsed="false">
      <c r="A26" s="56" t="s">
        <v>80</v>
      </c>
      <c r="B26" s="57" t="str">
        <f aca="false">IF(B25&lt;Config!$B$12,"🚨 ALERTE",IF(B25&lt;Config!$B$13,"⚠️ Surveiller","✅ OK"))</f>
        <v>✅ OK</v>
      </c>
      <c r="C26" s="58" t="str">
        <f aca="false">IF(C25&lt;Config!$B$12,"🚨 ALERTE",IF(C25&lt;Config!$B$13,"⚠️ Surveiller","✅ OK"))</f>
        <v>✅ OK</v>
      </c>
      <c r="D26" s="57" t="str">
        <f aca="false">IF(D25&lt;Config!$B$12,"🚨 ALERTE",IF(D25&lt;Config!$B$13,"⚠️ Surveiller","✅ OK"))</f>
        <v>✅ OK</v>
      </c>
      <c r="E26" s="58" t="str">
        <f aca="false">IF(E25&lt;Config!$B$12,"🚨 ALERTE",IF(E25&lt;Config!$B$13,"⚠️ Surveiller","✅ OK"))</f>
        <v>✅ OK</v>
      </c>
      <c r="F26" s="57" t="str">
        <f aca="false">IF(F25&lt;Config!$B$12,"🚨 ALERTE",IF(F25&lt;Config!$B$13,"⚠️ Surveiller","✅ OK"))</f>
        <v>✅ OK</v>
      </c>
      <c r="G26" s="58" t="str">
        <f aca="false">IF(G25&lt;Config!$B$12,"🚨 ALERTE",IF(G25&lt;Config!$B$13,"⚠️ Surveiller","✅ OK"))</f>
        <v>✅ OK</v>
      </c>
      <c r="H26" s="57" t="str">
        <f aca="false">IF(H25&lt;Config!$B$12,"🚨 ALERTE",IF(H25&lt;Config!$B$13,"⚠️ Surveiller","✅ OK"))</f>
        <v>✅ OK</v>
      </c>
      <c r="I26" s="58" t="str">
        <f aca="false">IF(I25&lt;Config!$B$12,"🚨 ALERTE",IF(I25&lt;Config!$B$13,"⚠️ Surveiller","✅ OK"))</f>
        <v>✅ OK</v>
      </c>
      <c r="J26" s="57" t="str">
        <f aca="false">IF(J25&lt;Config!$B$12,"🚨 ALERTE",IF(J25&lt;Config!$B$13,"⚠️ Surveiller","✅ OK"))</f>
        <v>✅ OK</v>
      </c>
      <c r="K26" s="58" t="str">
        <f aca="false">IF(K25&lt;Config!$B$12,"🚨 ALERTE",IF(K25&lt;Config!$B$13,"⚠️ Surveiller","✅ OK"))</f>
        <v>✅ OK</v>
      </c>
      <c r="L26" s="57" t="str">
        <f aca="false">IF(L25&lt;Config!$B$12,"🚨 ALERTE",IF(L25&lt;Config!$B$13,"⚠️ Surveiller","✅ OK"))</f>
        <v>✅ OK</v>
      </c>
      <c r="M26" s="58" t="str">
        <f aca="false">IF(M25&lt;Config!$B$12,"🚨 ALERTE",IF(M25&lt;Config!$B$13,"⚠️ Surveiller","✅ OK"))</f>
        <v>✅ OK</v>
      </c>
      <c r="N26" s="59"/>
    </row>
  </sheetData>
  <mergeCells count="6">
    <mergeCell ref="A2:N2"/>
    <mergeCell ref="A6:N6"/>
    <mergeCell ref="A7:N7"/>
    <mergeCell ref="A12:N12"/>
    <mergeCell ref="A19:N19"/>
    <mergeCell ref="A23:N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8" min="2" style="1" width="14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39.75" hidden="false" customHeight="true" outlineLevel="0" collapsed="false">
      <c r="A2" s="3" t="s">
        <v>81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5" customFormat="false" ht="27.75" hidden="false" customHeight="true" outlineLevel="0" collapsed="false">
      <c r="A5" s="22" t="s">
        <v>82</v>
      </c>
      <c r="B5" s="22" t="s">
        <v>83</v>
      </c>
      <c r="C5" s="22" t="s">
        <v>84</v>
      </c>
      <c r="D5" s="22" t="s">
        <v>85</v>
      </c>
      <c r="E5" s="22" t="s">
        <v>86</v>
      </c>
      <c r="F5" s="22" t="s">
        <v>87</v>
      </c>
      <c r="G5" s="22" t="s">
        <v>88</v>
      </c>
      <c r="H5" s="45" t="s">
        <v>89</v>
      </c>
    </row>
    <row r="6" customFormat="false" ht="15.75" hidden="false" customHeight="true" outlineLevel="0" collapsed="false">
      <c r="A6" s="46" t="s">
        <v>90</v>
      </c>
      <c r="B6" s="46"/>
      <c r="C6" s="46"/>
      <c r="D6" s="46"/>
      <c r="E6" s="46"/>
      <c r="F6" s="46"/>
      <c r="G6" s="46"/>
      <c r="H6" s="46"/>
    </row>
    <row r="7" customFormat="false" ht="21.75" hidden="false" customHeight="true" outlineLevel="0" collapsed="false">
      <c r="A7" s="4" t="s">
        <v>91</v>
      </c>
      <c r="B7" s="4"/>
      <c r="C7" s="4"/>
      <c r="D7" s="4"/>
      <c r="E7" s="4"/>
      <c r="F7" s="4"/>
      <c r="G7" s="4"/>
      <c r="H7" s="4"/>
    </row>
    <row r="8" customFormat="false" ht="19.5" hidden="false" customHeight="true" outlineLevel="0" collapsed="false">
      <c r="A8" s="39" t="s">
        <v>92</v>
      </c>
      <c r="B8" s="41" t="n">
        <v>0</v>
      </c>
      <c r="C8" s="41" t="n">
        <v>0</v>
      </c>
      <c r="D8" s="41" t="n">
        <v>0</v>
      </c>
      <c r="E8" s="41" t="n">
        <v>0</v>
      </c>
      <c r="F8" s="41" t="n">
        <v>0</v>
      </c>
      <c r="G8" s="41" t="n">
        <v>0</v>
      </c>
      <c r="H8" s="47" t="n">
        <f aca="false">SUM(B8:G8)</f>
        <v>0</v>
      </c>
    </row>
    <row r="9" customFormat="false" ht="19.5" hidden="false" customHeight="true" outlineLevel="0" collapsed="false">
      <c r="A9" s="36" t="s">
        <v>93</v>
      </c>
      <c r="B9" s="41" t="n">
        <v>0</v>
      </c>
      <c r="C9" s="41" t="n">
        <v>0</v>
      </c>
      <c r="D9" s="41" t="n">
        <v>0</v>
      </c>
      <c r="E9" s="41" t="n">
        <v>0</v>
      </c>
      <c r="F9" s="41" t="n">
        <v>0</v>
      </c>
      <c r="G9" s="41" t="n">
        <v>0</v>
      </c>
      <c r="H9" s="47" t="n">
        <f aca="false">SUM(B9:G9)</f>
        <v>0</v>
      </c>
    </row>
    <row r="10" customFormat="false" ht="19.5" hidden="false" customHeight="true" outlineLevel="0" collapsed="false">
      <c r="A10" s="52" t="s">
        <v>94</v>
      </c>
      <c r="B10" s="53" t="n">
        <f aca="false">B8-B9</f>
        <v>0</v>
      </c>
      <c r="C10" s="53" t="n">
        <f aca="false">C8-C9</f>
        <v>0</v>
      </c>
      <c r="D10" s="53" t="n">
        <f aca="false">D8-D9</f>
        <v>0</v>
      </c>
      <c r="E10" s="53" t="n">
        <f aca="false">E8-E9</f>
        <v>0</v>
      </c>
      <c r="F10" s="53" t="n">
        <f aca="false">F8-F9</f>
        <v>0</v>
      </c>
      <c r="G10" s="53" t="n">
        <f aca="false">G8-G9</f>
        <v>0</v>
      </c>
      <c r="H10" s="53" t="n">
        <f aca="false">SUM(B10:G10)</f>
        <v>0</v>
      </c>
    </row>
    <row r="11" customFormat="false" ht="19.5" hidden="false" customHeight="true" outlineLevel="0" collapsed="false">
      <c r="A11" s="54" t="s">
        <v>95</v>
      </c>
      <c r="B11" s="55" t="n">
        <f aca="false">Config!$B$11+B10</f>
        <v>80000</v>
      </c>
      <c r="C11" s="55" t="n">
        <f aca="false">B11+C10</f>
        <v>80000</v>
      </c>
      <c r="D11" s="55" t="n">
        <f aca="false">C11+D10</f>
        <v>80000</v>
      </c>
      <c r="E11" s="55" t="n">
        <f aca="false">D11+E10</f>
        <v>80000</v>
      </c>
      <c r="F11" s="55" t="n">
        <f aca="false">E11+F10</f>
        <v>80000</v>
      </c>
      <c r="G11" s="55" t="n">
        <f aca="false">F11+G10</f>
        <v>80000</v>
      </c>
      <c r="H11" s="55" t="n">
        <f aca="false">G11</f>
        <v>80000</v>
      </c>
    </row>
    <row r="12" customFormat="false" ht="19.5" hidden="false" customHeight="true" outlineLevel="0" collapsed="false">
      <c r="A12" s="56" t="s">
        <v>96</v>
      </c>
      <c r="B12" s="60" t="str">
        <f aca="false">IF(B11&lt;Config!$B$12,"🚨 ALERTE",IF(B11&lt;Config!$B$13,"⚠️ Surveiller","✅ OK"))</f>
        <v>✅ OK</v>
      </c>
      <c r="C12" s="60" t="str">
        <f aca="false">IF(C11&lt;Config!$B$12,"🚨 ALERTE",IF(C11&lt;Config!$B$13,"⚠️ Surveiller","✅ OK"))</f>
        <v>✅ OK</v>
      </c>
      <c r="D12" s="60" t="str">
        <f aca="false">IF(D11&lt;Config!$B$12,"🚨 ALERTE",IF(D11&lt;Config!$B$13,"⚠️ Surveiller","✅ OK"))</f>
        <v>✅ OK</v>
      </c>
      <c r="E12" s="60" t="str">
        <f aca="false">IF(E11&lt;Config!$B$12,"🚨 ALERTE",IF(E11&lt;Config!$B$13,"⚠️ Surveiller","✅ OK"))</f>
        <v>✅ OK</v>
      </c>
      <c r="F12" s="60" t="str">
        <f aca="false">IF(F11&lt;Config!$B$12,"🚨 ALERTE",IF(F11&lt;Config!$B$13,"⚠️ Surveiller","✅ OK"))</f>
        <v>✅ OK</v>
      </c>
      <c r="G12" s="60" t="str">
        <f aca="false">IF(G11&lt;Config!$B$12,"🚨 ALERTE",IF(G11&lt;Config!$B$13,"⚠️ Surveiller","✅ OK"))</f>
        <v>✅ OK</v>
      </c>
      <c r="H12" s="61"/>
    </row>
    <row r="14" customFormat="false" ht="21.75" hidden="false" customHeight="true" outlineLevel="0" collapsed="false">
      <c r="A14" s="4" t="s">
        <v>97</v>
      </c>
      <c r="B14" s="4"/>
      <c r="C14" s="4"/>
      <c r="D14" s="4"/>
      <c r="E14" s="4"/>
      <c r="F14" s="4"/>
      <c r="G14" s="4"/>
      <c r="H14" s="4"/>
    </row>
    <row r="15" customFormat="false" ht="19.5" hidden="false" customHeight="true" outlineLevel="0" collapsed="false">
      <c r="A15" s="36" t="s">
        <v>98</v>
      </c>
      <c r="B15" s="29" t="n">
        <f aca="false">B8*0.8</f>
        <v>0</v>
      </c>
      <c r="C15" s="29" t="n">
        <f aca="false">C8*0.8</f>
        <v>0</v>
      </c>
      <c r="D15" s="29" t="n">
        <f aca="false">D8*0.8</f>
        <v>0</v>
      </c>
      <c r="E15" s="29" t="n">
        <f aca="false">E8*0.8</f>
        <v>0</v>
      </c>
      <c r="F15" s="29" t="n">
        <f aca="false">F8*0.8</f>
        <v>0</v>
      </c>
      <c r="G15" s="29" t="n">
        <f aca="false">G8*0.8</f>
        <v>0</v>
      </c>
      <c r="H15" s="29" t="n">
        <f aca="false">SUM(B15:G15)</f>
        <v>0</v>
      </c>
    </row>
    <row r="16" customFormat="false" ht="19.5" hidden="false" customHeight="true" outlineLevel="0" collapsed="false">
      <c r="A16" s="50" t="s">
        <v>99</v>
      </c>
      <c r="B16" s="62" t="n">
        <f aca="false">Config!$B$11+(B15-B9)</f>
        <v>80000</v>
      </c>
      <c r="C16" s="62" t="n">
        <f aca="false">B16+(C15-C9)</f>
        <v>80000</v>
      </c>
      <c r="D16" s="62" t="n">
        <f aca="false">C16+(D15-D9)</f>
        <v>80000</v>
      </c>
      <c r="E16" s="62" t="n">
        <f aca="false">D16+(E15-E9)</f>
        <v>80000</v>
      </c>
      <c r="F16" s="62" t="n">
        <f aca="false">E16+(F15-F9)</f>
        <v>80000</v>
      </c>
      <c r="G16" s="62" t="n">
        <f aca="false">F16+(G15-G9)</f>
        <v>80000</v>
      </c>
      <c r="H16" s="63" t="n">
        <f aca="false">G16</f>
        <v>80000</v>
      </c>
    </row>
    <row r="18" customFormat="false" ht="21.75" hidden="false" customHeight="true" outlineLevel="0" collapsed="false">
      <c r="A18" s="4" t="s">
        <v>100</v>
      </c>
      <c r="B18" s="4"/>
      <c r="C18" s="4"/>
      <c r="D18" s="4"/>
      <c r="E18" s="4"/>
      <c r="F18" s="4"/>
      <c r="G18" s="4"/>
      <c r="H18" s="4"/>
    </row>
    <row r="19" customFormat="false" ht="19.5" hidden="false" customHeight="true" outlineLevel="0" collapsed="false">
      <c r="A19" s="36" t="s">
        <v>101</v>
      </c>
      <c r="B19" s="29" t="n">
        <f aca="false">B8*1.15</f>
        <v>0</v>
      </c>
      <c r="C19" s="29" t="n">
        <f aca="false">C8*1.15</f>
        <v>0</v>
      </c>
      <c r="D19" s="29" t="n">
        <f aca="false">D8*1.15</f>
        <v>0</v>
      </c>
      <c r="E19" s="29" t="n">
        <f aca="false">E8*1.15</f>
        <v>0</v>
      </c>
      <c r="F19" s="29" t="n">
        <f aca="false">F8*1.15</f>
        <v>0</v>
      </c>
      <c r="G19" s="29" t="n">
        <f aca="false">G8*1.15</f>
        <v>0</v>
      </c>
      <c r="H19" s="29" t="n">
        <f aca="false">SUM(B19:G19)</f>
        <v>0</v>
      </c>
    </row>
    <row r="20" customFormat="false" ht="19.5" hidden="false" customHeight="true" outlineLevel="0" collapsed="false">
      <c r="A20" s="48" t="s">
        <v>102</v>
      </c>
      <c r="B20" s="49" t="n">
        <f aca="false">Config!$B$11+(B19-B9)</f>
        <v>80000</v>
      </c>
      <c r="C20" s="49" t="n">
        <f aca="false">B20+(C19-C9)</f>
        <v>80000</v>
      </c>
      <c r="D20" s="49" t="n">
        <f aca="false">C20+(D19-D9)</f>
        <v>80000</v>
      </c>
      <c r="E20" s="49" t="n">
        <f aca="false">D20+(E19-E9)</f>
        <v>80000</v>
      </c>
      <c r="F20" s="49" t="n">
        <f aca="false">E20+(F19-F9)</f>
        <v>80000</v>
      </c>
      <c r="G20" s="49" t="n">
        <f aca="false">F20+(G19-G9)</f>
        <v>80000</v>
      </c>
      <c r="H20" s="64" t="n">
        <f aca="false">G20</f>
        <v>80000</v>
      </c>
    </row>
    <row r="22" customFormat="false" ht="18" hidden="false" customHeight="true" outlineLevel="0" collapsed="false">
      <c r="A22" s="44" t="s">
        <v>103</v>
      </c>
      <c r="B22" s="44"/>
      <c r="C22" s="44"/>
      <c r="D22" s="44"/>
      <c r="E22" s="44"/>
      <c r="F22" s="44"/>
      <c r="G22" s="44"/>
      <c r="H22" s="44"/>
    </row>
    <row r="23" customFormat="false" ht="18" hidden="false" customHeight="true" outlineLevel="0" collapsed="false">
      <c r="A23" s="44"/>
      <c r="B23" s="44"/>
      <c r="C23" s="44"/>
      <c r="D23" s="44"/>
      <c r="E23" s="44"/>
      <c r="F23" s="44"/>
      <c r="G23" s="44"/>
      <c r="H23" s="44"/>
    </row>
    <row r="24" customFormat="false" ht="18" hidden="false" customHeight="true" outlineLevel="0" collapsed="false">
      <c r="A24" s="44"/>
      <c r="B24" s="44"/>
      <c r="C24" s="44"/>
      <c r="D24" s="44"/>
      <c r="E24" s="44"/>
      <c r="F24" s="44"/>
      <c r="G24" s="44"/>
      <c r="H24" s="44"/>
    </row>
    <row r="25" customFormat="false" ht="18" hidden="false" customHeight="true" outlineLevel="0" collapsed="false">
      <c r="A25" s="44"/>
      <c r="B25" s="44"/>
      <c r="C25" s="44"/>
      <c r="D25" s="44"/>
      <c r="E25" s="44"/>
      <c r="F25" s="44"/>
      <c r="G25" s="44"/>
      <c r="H25" s="44"/>
    </row>
    <row r="26" customFormat="false" ht="18" hidden="false" customHeight="true" outlineLevel="0" collapsed="false">
      <c r="A26" s="44"/>
      <c r="B26" s="44"/>
      <c r="C26" s="44"/>
      <c r="D26" s="44"/>
      <c r="E26" s="44"/>
      <c r="F26" s="44"/>
      <c r="G26" s="44"/>
      <c r="H26" s="44"/>
    </row>
  </sheetData>
  <mergeCells count="6">
    <mergeCell ref="A2:H2"/>
    <mergeCell ref="A6:H6"/>
    <mergeCell ref="A7:H7"/>
    <mergeCell ref="A14:H14"/>
    <mergeCell ref="A18:H18"/>
    <mergeCell ref="A22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2026-05-10T14:54:20Z</dcterms:created>
  <dc:creator>openpyxl</dc:creator>
  <dc:description/>
  <dc:language>en-US</dc:language>
  <cp:lastModifiedBy/>
  <dcterms:modified xsi:type="dcterms:W3CDTF">2026-05-10T14:54:55Z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