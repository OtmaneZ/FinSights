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isie mensuelle" sheetId="1" state="visible" r:id="rId3"/>
    <sheet name="Dashboard" sheetId="2" state="visible" r:id="rId4"/>
    <sheet name="Retraite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<sst xmlns="http://schemas.openxmlformats.org/spreadsheetml/2006/main" count="111" uniqueCount="71">
  <si>
    <t xml:space="preserve">TABLEAU DE BORD EBITDA MENSUEL — FinSight</t>
  </si>
  <si>
    <t xml:space="preserve">Saisissez vos données en bleu · Les formules calculent automatiquement</t>
  </si>
  <si>
    <t xml:space="preserve">INDICATEURS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</si>
  <si>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</si>
  <si>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</si>
  <si>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</si>
  <si>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</si>
  <si>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</si>
  <si>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Jui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</si>
  <si>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</si>
  <si>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</si>
  <si>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</si>
  <si>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</si>
  <si>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</si>
  <si>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</si>
  <si>
    <t xml:space="preserve">TOTAL</t>
  </si>
  <si>
    <t xml:space="preserve">▶  CHIFFRE D'AFFAIRES</t>
  </si>
  <si>
    <t xml:space="preserve">Chiffre d'affaires (€)</t>
  </si>
  <si>
    <t xml:space="preserve">▶  CHARGES OPÉRATIONNELLES  [saisir en positif]</t>
  </si>
  <si>
    <t xml:space="preserve">Achats &amp; charges externes (€)</t>
  </si>
  <si>
    <t xml:space="preserve">Masse salariale brute (€)</t>
  </si>
  <si>
    <t xml:space="preserve">Charges sociales patronales (€)</t>
  </si>
  <si>
    <t xml:space="preserve">Autres charges opérationnelles (€)</t>
  </si>
  <si>
    <t xml:space="preserve">▶  CALCUL EBITDA</t>
  </si>
  <si>
    <t xml:space="preserve">Total charges opérationnelles (€)</t>
  </si>
  <si>
    <t xml:space="preserve">EBITDA (€)</t>
  </si>
  <si>
    <t xml:space="preserve">Marge EBITDA (%)</t>
  </si>
  <si>
    <t xml:space="preserve">▶  ALERTES AUTOMATIQUES</t>
  </si>
  <si>
    <t xml:space="preserve">Benchmark sectoriel cible (%)</t>
  </si>
  <si>
    <t xml:space="preserve">Statut marge EBITDA</t>
  </si>
  <si>
    <t xml:space="preserve">💡  Formule canonique FinSight : EBITDA = Résultat net + Impôts + Intérêts + Amortissements  |  Ici : EBITDA = CA - Charges opérationnelles (approche top-down PME)</t>
  </si>
  <si>
    <t xml:space="preserve">DASHBOARD EBITDA — VUE SYNTHÉTIQUE</t>
  </si>
  <si>
    <t xml:space="preserve">Données tirées de l'onglet Saisie mensuelle · Mise à jour automatique</t>
  </si>
  <si>
    <t xml:space="preserve">CA ANNUEL (€)</t>
  </si>
  <si>
    <t xml:space="preserve">EBITDA ANNUEL (€)</t>
  </si>
  <si>
    <t xml:space="preserve">MARGE EBITDA</t>
  </si>
  <si>
    <t xml:space="preserve">BENCHMARK CIBLE</t>
  </si>
  <si>
    <t xml:space="preserve">▶  RÉCAPITULATIF MENSUEL</t>
  </si>
  <si>
    <t xml:space="preserve">MOIS</t>
  </si>
  <si>
    <t xml:space="preserve">CA (€)</t>
  </si>
  <si>
    <t xml:space="preserve">Charges op. (€)</t>
  </si>
  <si>
    <t xml:space="preserve">TOTAL / MOY</t>
  </si>
  <si>
    <t xml:space="preserve">Mois</t>
  </si>
  <si>
    <t xml:space="preserve">Marge (%)</t>
  </si>
  <si>
    <t xml:space="preserve">EBITDA NORMALISÉ — RETRAITEMENTS</t>
  </si>
  <si>
    <t xml:space="preserve">Neutralisez les éléments non récurrents pour obtenir votre EBITDA réel</t>
  </si>
  <si>
    <t xml:space="preserve">L'EBITDA normalisé neutralise les charges et produits exceptionnels ou non représentatifs de l'activité courante.
Exemples : prime exceptionnelle dirigeant, loyer anormal vs marché, frais de restructuration, charges non récurrentes.
C'est l'EBITDA que regardent les banquiers et repreneurs pour valoriser votre entreprise.</t>
  </si>
  <si>
    <t xml:space="preserve">POSTE</t>
  </si>
  <si>
    <t xml:space="preserve">EBITDA brut (tiré de Saisie mensuelle)</t>
  </si>
  <si>
    <t xml:space="preserve">▶  RETRAITEMENTS  [saisir en positif = charge à neutraliser / négatif = produit à neutraliser]</t>
  </si>
  <si>
    <t xml:space="preserve">Rémunération dirigeant hors marché (€)</t>
  </si>
  <si>
    <t xml:space="preserve">Loyer anormal vs marché (€)</t>
  </si>
  <si>
    <t xml:space="preserve">Charges non récurrentes (restructuration, etc.) (€)</t>
  </si>
  <si>
    <t xml:space="preserve">Autres retraitements (€)</t>
  </si>
  <si>
    <t xml:space="preserve">Total retraitements (€)</t>
  </si>
  <si>
    <t xml:space="preserve">EBITDA NORMALISÉ (€)</t>
  </si>
  <si>
    <t xml:space="preserve">Marge EBITDA normalisée (%)</t>
  </si>
  <si>
    <t xml:space="preserve">▶  BENCHMARKS SECTORIELS (Banque de France / INSEE)</t>
  </si>
  <si>
    <t xml:space="preserve">Services B2B</t>
  </si>
  <si>
    <t xml:space="preserve">12% - 18%</t>
  </si>
  <si>
    <t xml:space="preserve">Cible idéale &gt; 15%</t>
  </si>
  <si>
    <t xml:space="preserve">Commerce / Distribution</t>
  </si>
  <si>
    <t xml:space="preserve">5% - 10%</t>
  </si>
  <si>
    <t xml:space="preserve">Cible idéale &gt; 8%</t>
  </si>
  <si>
    <t xml:space="preserve">BTP / Construction</t>
  </si>
  <si>
    <t xml:space="preserve">6% - 12%</t>
  </si>
  <si>
    <t xml:space="preserve">Cible idéale &gt; 9%</t>
  </si>
  <si>
    <t xml:space="preserve">SaaS / Tech</t>
  </si>
  <si>
    <t xml:space="preserve">15% - 30%</t>
  </si>
  <si>
    <t xml:space="preserve">Cible idéale &gt; 20%</t>
  </si>
  <si>
    <t xml:space="preserve">Sources : Banque de France — Statistiques sectorielles PME 2024  |  FinSight — finsight.zineinsight.com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</si>
</sst>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7F8C8D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20"/>
      <color rgb="FFC9A84C"/>
      <name val="Arial"/>
      <family val="0"/>
      <charset val="1"/>
    </font>
    <font>
      <sz val="9"/>
      <color rgb="FFC9A84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2C3E5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3D7A"/>
      <name val="Arial"/>
      <family val="0"/>
      <charset val="1"/>
    </font>
    <font>
      <i val="true"/>
      <sz val="9"/>
      <color rgb="FF7F8C8D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3D7A"/>
        <bgColor rgb="FF2C3E50"/>
      </patternFill>
    </fill>
    <fill>
      <patternFill patternType="solid">
        <fgColor rgb="FFC9A84C"/>
        <bgColor rgb="FFC0C0C0"/>
      </patternFill>
    </fill>
    <fill>
      <patternFill patternType="solid">
        <fgColor rgb="FF2C3E50"/>
        <bgColor rgb="FF0F3D7A"/>
      </patternFill>
    </fill>
    <fill>
      <patternFill patternType="solid">
        <fgColor rgb="FFF8F6F0"/>
        <bgColor rgb="FFF9F9F9"/>
      </patternFill>
    </fill>
    <fill>
      <patternFill patternType="solid">
        <fgColor rgb="FFE8EEF7"/>
        <bgColor rgb="FFE8F0E8"/>
      </patternFill>
    </fill>
    <fill>
      <patternFill patternType="solid">
        <fgColor rgb="FFE8F0E8"/>
        <bgColor rgb="FFE8EEF7"/>
      </patternFill>
    </fill>
    <fill>
      <patternFill patternType="solid">
        <fgColor rgb="FFFFF3CD"/>
        <bgColor rgb="FFFFF8E7"/>
      </patternFill>
    </fill>
    <fill>
      <patternFill patternType="solid">
        <fgColor rgb="FFFFF8E7"/>
        <bgColor rgb="FFF8F6F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F3D7A"/>
      </bottom>
      <diagonal/>
    </border>
    <border diagonalUp="false" diagonalDown="false">
      <left style="thin">
        <color rgb="FF0F3D7A"/>
      </left>
      <right style="thin">
        <color rgb="FF0F3D7A"/>
      </right>
      <top style="thin">
        <color rgb="FF0F3D7A"/>
      </top>
      <bottom style="thin">
        <color rgb="FF0F3D7A"/>
      </bottom>
      <diagonal/>
    </border>
    <border diagonalUp="false" diagonalDown="false">
      <left style="thin">
        <color rgb="FF0F3D7A"/>
      </left>
      <right/>
      <top style="thin">
        <color rgb="FF0F3D7A"/>
      </top>
      <bottom style="thin">
        <color rgb="FF0F3D7A"/>
      </bottom>
      <diagonal/>
    </border>
    <border diagonalUp="false" diagonalDown="false">
      <left style="thin">
        <color rgb="FF0F3D7A"/>
      </left>
      <right/>
      <top style="thin">
        <color rgb="FF0F3D7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2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3CD"/>
      <rgbColor rgb="FFE8EE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8"/>
      <rgbColor rgb="FFF8F6F0"/>
      <rgbColor rgb="FFFFF8E7"/>
      <rgbColor rgb="FF99CCFF"/>
      <rgbColor rgb="FFFF99CC"/>
      <rgbColor rgb="FFCC99FF"/>
      <rgbColor rgb="FFF9F9F9"/>
      <rgbColor rgb="FF3366FF"/>
      <rgbColor rgb="FF33CCCC"/>
      <rgbColor rgb="FF99CC00"/>
      <rgbColor rgb="FFFFCC00"/>
      <rgbColor rgb="FFC9A84C"/>
      <rgbColor rgb="FFFF6600"/>
      <rgbColor rgb="FF666699"/>
      <rgbColor rgb="FF7F8C8D"/>
      <rgbColor rgb="FF0F3D7A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EBITDA Mensuel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Dashboard!B28</c:f>
              <c:strCache>
                <c:ptCount val="1"/>
                <c:pt idx="0">
                  <c:v>EBITDA (€)</c:v>
                </c:pt>
              </c:strCache>
            </c:strRef>
          </c:tx>
          <c:spPr>
            <a:solidFill>
              <a:srgbClr val="0f3d7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Dashboard!$A$29:$A$40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Jul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Dashboard!$B$29:$B$40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3571056"/>
        <c:axId val="12731771"/>
      </c:barChart>
      <c:catAx>
        <c:axId val="1357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31771"/>
        <c:crosses val="autoZero"/>
        <c:auto val="1"/>
        <c:lblAlgn val="ctr"/>
        <c:lblOffset val="100"/>
        <c:noMultiLvlLbl val="0"/>
      </c:catAx>
      <c:valAx>
        <c:axId val="12731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EBITDA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71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7</xdr:col>
      <xdr:colOff>276840</xdr:colOff>
      <xdr:row>49</xdr:row>
      <xdr:rowOff>149760</xdr:rowOff>
    </xdr:to>
    <xdr:graphicFrame>
      <xdr:nvGraphicFramePr>
        <xdr:cNvPr id="0" name="Chart 1"/>
        <xdr:cNvGraphicFramePr/>
      </xdr:nvGraphicFramePr>
      <xdr:xfrm>
        <a:off x="0" y="68104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11"/>
    <col collapsed="false" customWidth="true" hidden="false" outlineLevel="0" max="14" min="14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5" t="s">
        <v>15</v>
      </c>
    </row>
    <row r="5" customFormat="false" ht="18" hidden="false" customHeight="true" outlineLevel="0" collapsed="false">
      <c r="A5" s="6" t="s">
        <v>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9.5" hidden="false" customHeight="true" outlineLevel="0" collapsed="false">
      <c r="A6" s="7" t="s">
        <v>17</v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9" t="n">
        <f aca="false">SUM(B6:M6)</f>
        <v>0</v>
      </c>
    </row>
    <row r="7" customFormat="false" ht="6" hidden="false" customHeight="true" outlineLevel="0" collapsed="false"/>
    <row r="8" customFormat="false" ht="18" hidden="false" customHeight="true" outlineLevel="0" collapsed="false">
      <c r="A8" s="6" t="s">
        <v>18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9.5" hidden="false" customHeight="true" outlineLevel="0" collapsed="false">
      <c r="A9" s="7" t="s">
        <v>19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9" t="n">
        <f aca="false">SUM(B9:M9)</f>
        <v>0</v>
      </c>
    </row>
    <row r="10" customFormat="false" ht="19.5" hidden="false" customHeight="true" outlineLevel="0" collapsed="false">
      <c r="A10" s="7" t="s">
        <v>20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9" t="n">
        <f aca="false">SUM(B10:M10)</f>
        <v>0</v>
      </c>
    </row>
    <row r="11" customFormat="false" ht="19.5" hidden="false" customHeight="true" outlineLevel="0" collapsed="false">
      <c r="A11" s="7" t="s">
        <v>21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9" t="n">
        <f aca="false">SUM(B11:M11)</f>
        <v>0</v>
      </c>
    </row>
    <row r="12" customFormat="false" ht="19.5" hidden="false" customHeight="true" outlineLevel="0" collapsed="false">
      <c r="A12" s="7" t="s">
        <v>22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9" t="n">
        <f aca="false">SUM(B12:M12)</f>
        <v>0</v>
      </c>
    </row>
    <row r="13" customFormat="false" ht="6" hidden="false" customHeight="true" outlineLevel="0" collapsed="false"/>
    <row r="14" customFormat="false" ht="18" hidden="false" customHeight="true" outlineLevel="0" collapsed="false">
      <c r="A14" s="6" t="s">
        <v>23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21.75" hidden="false" customHeight="true" outlineLevel="0" collapsed="false">
      <c r="A15" s="10" t="s">
        <v>24</v>
      </c>
      <c r="B15" s="11" t="n">
        <f aca="false">B9+B10+B11+B12</f>
        <v>0</v>
      </c>
      <c r="C15" s="11" t="n">
        <f aca="false">C9+C10+C11+C12</f>
        <v>0</v>
      </c>
      <c r="D15" s="11" t="n">
        <f aca="false">D9+D10+D11+D12</f>
        <v>0</v>
      </c>
      <c r="E15" s="11" t="n">
        <f aca="false">E9+E10+E11+E12</f>
        <v>0</v>
      </c>
      <c r="F15" s="11" t="n">
        <f aca="false">F9+F10+F11+F12</f>
        <v>0</v>
      </c>
      <c r="G15" s="11" t="n">
        <f aca="false">G9+G10+G11+G12</f>
        <v>0</v>
      </c>
      <c r="H15" s="11" t="n">
        <f aca="false">H9+H10+H11+H12</f>
        <v>0</v>
      </c>
      <c r="I15" s="11" t="n">
        <f aca="false">I9+I10+I11+I12</f>
        <v>0</v>
      </c>
      <c r="J15" s="11" t="n">
        <f aca="false">J9+J10+J11+J12</f>
        <v>0</v>
      </c>
      <c r="K15" s="11" t="n">
        <f aca="false">K9+K10+K11+K12</f>
        <v>0</v>
      </c>
      <c r="L15" s="11" t="n">
        <f aca="false">L9+L10+L11+L12</f>
        <v>0</v>
      </c>
      <c r="M15" s="11" t="n">
        <f aca="false">M9+M10+M11+M12</f>
        <v>0</v>
      </c>
      <c r="N15" s="11" t="n">
        <f aca="false">SUM(B15:M15)</f>
        <v>0</v>
      </c>
    </row>
    <row r="16" customFormat="false" ht="21.75" hidden="false" customHeight="true" outlineLevel="0" collapsed="false">
      <c r="A16" s="12" t="s">
        <v>25</v>
      </c>
      <c r="B16" s="13" t="n">
        <f aca="false">B6-B15</f>
        <v>0</v>
      </c>
      <c r="C16" s="13" t="n">
        <f aca="false">C6-C15</f>
        <v>0</v>
      </c>
      <c r="D16" s="13" t="n">
        <f aca="false">D6-D15</f>
        <v>0</v>
      </c>
      <c r="E16" s="13" t="n">
        <f aca="false">E6-E15</f>
        <v>0</v>
      </c>
      <c r="F16" s="13" t="n">
        <f aca="false">F6-F15</f>
        <v>0</v>
      </c>
      <c r="G16" s="13" t="n">
        <f aca="false">G6-G15</f>
        <v>0</v>
      </c>
      <c r="H16" s="13" t="n">
        <f aca="false">H6-H15</f>
        <v>0</v>
      </c>
      <c r="I16" s="13" t="n">
        <f aca="false">I6-I15</f>
        <v>0</v>
      </c>
      <c r="J16" s="13" t="n">
        <f aca="false">J6-J15</f>
        <v>0</v>
      </c>
      <c r="K16" s="13" t="n">
        <f aca="false">K6-K15</f>
        <v>0</v>
      </c>
      <c r="L16" s="13" t="n">
        <f aca="false">L6-L15</f>
        <v>0</v>
      </c>
      <c r="M16" s="13" t="n">
        <f aca="false">M6-M15</f>
        <v>0</v>
      </c>
      <c r="N16" s="13" t="n">
        <f aca="false">SUM(B16:M16)</f>
        <v>0</v>
      </c>
    </row>
    <row r="17" customFormat="false" ht="21.75" hidden="false" customHeight="true" outlineLevel="0" collapsed="false">
      <c r="A17" s="14" t="s">
        <v>26</v>
      </c>
      <c r="B17" s="15" t="n">
        <f aca="false">IF(B6=0,0,B16/B6)</f>
        <v>0</v>
      </c>
      <c r="C17" s="15" t="n">
        <f aca="false">IF(C6=0,0,C16/C6)</f>
        <v>0</v>
      </c>
      <c r="D17" s="15" t="n">
        <f aca="false">IF(D6=0,0,D16/D6)</f>
        <v>0</v>
      </c>
      <c r="E17" s="15" t="n">
        <f aca="false">IF(E6=0,0,E16/E6)</f>
        <v>0</v>
      </c>
      <c r="F17" s="15" t="n">
        <f aca="false">IF(F6=0,0,F16/F6)</f>
        <v>0</v>
      </c>
      <c r="G17" s="15" t="n">
        <f aca="false">IF(G6=0,0,G16/G6)</f>
        <v>0</v>
      </c>
      <c r="H17" s="15" t="n">
        <f aca="false">IF(H6=0,0,H16/H6)</f>
        <v>0</v>
      </c>
      <c r="I17" s="15" t="n">
        <f aca="false">IF(I6=0,0,I16/I6)</f>
        <v>0</v>
      </c>
      <c r="J17" s="15" t="n">
        <f aca="false">IF(J6=0,0,J16/J6)</f>
        <v>0</v>
      </c>
      <c r="K17" s="15" t="n">
        <f aca="false">IF(K6=0,0,K16/K6)</f>
        <v>0</v>
      </c>
      <c r="L17" s="15" t="n">
        <f aca="false">IF(L6=0,0,L16/L6)</f>
        <v>0</v>
      </c>
      <c r="M17" s="15" t="n">
        <f aca="false">IF(M6=0,0,M16/M6)</f>
        <v>0</v>
      </c>
      <c r="N17" s="15" t="n">
        <f aca="false">IF(N6=0,0,N16/N6)</f>
        <v>0</v>
      </c>
    </row>
    <row r="19" customFormat="false" ht="6" hidden="false" customHeight="true" outlineLevel="0" collapsed="false"/>
    <row r="20" customFormat="false" ht="18" hidden="false" customHeight="true" outlineLevel="0" collapsed="false">
      <c r="A20" s="6" t="s">
        <v>27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9.5" hidden="false" customHeight="true" outlineLevel="0" collapsed="false">
      <c r="A21" s="16" t="s">
        <v>28</v>
      </c>
      <c r="B21" s="17" t="n">
        <v>0.1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customFormat="false" ht="19.5" hidden="false" customHeight="true" outlineLevel="0" collapsed="false">
      <c r="A22" s="16" t="s">
        <v>29</v>
      </c>
      <c r="B22" s="18" t="str">
        <f aca="false">IF(B6=0,"—",IF(B17&gt;=$B$21,"✓ OK","⚠ Sous seuil"))</f>
        <v>—</v>
      </c>
      <c r="C22" s="18" t="str">
        <f aca="false">IF(C6=0,"—",IF(C17&gt;=$B$21,"✓ OK","⚠ Sous seuil"))</f>
        <v>—</v>
      </c>
      <c r="D22" s="18" t="str">
        <f aca="false">IF(D6=0,"—",IF(D17&gt;=$B$21,"✓ OK","⚠ Sous seuil"))</f>
        <v>—</v>
      </c>
      <c r="E22" s="18" t="str">
        <f aca="false">IF(E6=0,"—",IF(E17&gt;=$B$21,"✓ OK","⚠ Sous seuil"))</f>
        <v>—</v>
      </c>
      <c r="F22" s="18" t="str">
        <f aca="false">IF(F6=0,"—",IF(F17&gt;=$B$21,"✓ OK","⚠ Sous seuil"))</f>
        <v>—</v>
      </c>
      <c r="G22" s="18" t="str">
        <f aca="false">IF(G6=0,"—",IF(G17&gt;=$B$21,"✓ OK","⚠ Sous seuil"))</f>
        <v>—</v>
      </c>
      <c r="H22" s="18" t="str">
        <f aca="false">IF(H6=0,"—",IF(H17&gt;=$B$21,"✓ OK","⚠ Sous seuil"))</f>
        <v>—</v>
      </c>
      <c r="I22" s="18" t="str">
        <f aca="false">IF(I6=0,"—",IF(I17&gt;=$B$21,"✓ OK","⚠ Sous seuil"))</f>
        <v>—</v>
      </c>
      <c r="J22" s="18" t="str">
        <f aca="false">IF(J6=0,"—",IF(J17&gt;=$B$21,"✓ OK","⚠ Sous seuil"))</f>
        <v>—</v>
      </c>
      <c r="K22" s="18" t="str">
        <f aca="false">IF(K6=0,"—",IF(K17&gt;=$B$21,"✓ OK","⚠ Sous seuil"))</f>
        <v>—</v>
      </c>
      <c r="L22" s="18" t="str">
        <f aca="false">IF(L6=0,"—",IF(L17&gt;=$B$21,"✓ OK","⚠ Sous seuil"))</f>
        <v>—</v>
      </c>
      <c r="M22" s="18" t="str">
        <f aca="false">IF(M6=0,"—",IF(M17&gt;=$B$21,"✓ OK","⚠ Sous seuil"))</f>
        <v>—</v>
      </c>
    </row>
    <row r="24" customFormat="false" ht="6" hidden="false" customHeight="true" outlineLevel="0" collapsed="false"/>
    <row r="25" customFormat="false" ht="15" hidden="false" customHeight="false" outlineLevel="0" collapsed="false">
      <c r="A25" s="19" t="s">
        <v>30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</sheetData>
  <mergeCells count="8">
    <mergeCell ref="A1:N1"/>
    <mergeCell ref="A2:N2"/>
    <mergeCell ref="A5:N5"/>
    <mergeCell ref="A8:N8"/>
    <mergeCell ref="A14:N14"/>
    <mergeCell ref="A20:N20"/>
    <mergeCell ref="B21:N21"/>
    <mergeCell ref="A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5" min="2" style="0" width="11"/>
  </cols>
  <sheetData>
    <row r="1" customFormat="false" ht="31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3.5" hidden="false" customHeight="true" outlineLevel="0" collapsed="false"/>
    <row r="5" customFormat="false" ht="27.75" hidden="false" customHeight="true" outlineLevel="0" collapsed="false">
      <c r="B5" s="20" t="s">
        <v>33</v>
      </c>
      <c r="C5" s="20"/>
      <c r="D5" s="20"/>
      <c r="E5" s="20" t="s">
        <v>34</v>
      </c>
      <c r="F5" s="20"/>
      <c r="G5" s="20"/>
      <c r="H5" s="20" t="s">
        <v>35</v>
      </c>
      <c r="I5" s="20"/>
      <c r="J5" s="20"/>
      <c r="K5" s="20" t="s">
        <v>36</v>
      </c>
      <c r="L5" s="20"/>
      <c r="M5" s="20"/>
    </row>
    <row r="6" customFormat="false" ht="36" hidden="false" customHeight="true" outlineLevel="0" collapsed="false">
      <c r="B6" s="21" t="n">
        <f aca="false">'Saisie mensuelle'!N6</f>
        <v>0</v>
      </c>
      <c r="C6" s="21"/>
      <c r="D6" s="21"/>
      <c r="E6" s="22" t="n">
        <f aca="false">'Saisie mensuelle'!N16</f>
        <v>0</v>
      </c>
      <c r="F6" s="22"/>
      <c r="G6" s="22"/>
      <c r="H6" s="23" t="n">
        <f aca="false">IF('Saisie mensuelle'!N6=0,0,'Saisie mensuelle'!N16/'Saisie mensuelle'!N6)</f>
        <v>0</v>
      </c>
      <c r="I6" s="23"/>
      <c r="J6" s="23"/>
      <c r="K6" s="23" t="n">
        <f aca="false">'Saisie mensuelle'!B21</f>
        <v>0.1</v>
      </c>
      <c r="L6" s="23"/>
      <c r="M6" s="23"/>
    </row>
    <row r="7" customFormat="false" ht="21.75" hidden="false" customHeight="true" outlineLevel="0" collapsed="false">
      <c r="B7" s="24"/>
      <c r="C7" s="24"/>
      <c r="D7" s="24"/>
      <c r="E7" s="24"/>
      <c r="F7" s="24"/>
      <c r="G7" s="24"/>
      <c r="H7" s="24" t="str">
        <f aca="false">IF('Saisie mensuelle'!N6=0,"—",IF('Saisie mensuelle'!N16/'Saisie mensuelle'!N6&gt;='Saisie mensuelle'!B21,"✓ Objectif atteint","⚠ Sous objectif"))</f>
        <v>—</v>
      </c>
      <c r="I7" s="24"/>
      <c r="J7" s="24"/>
      <c r="K7" s="24"/>
      <c r="L7" s="24"/>
      <c r="M7" s="24"/>
    </row>
    <row r="8" customFormat="false" ht="13.5" hidden="false" customHeight="true" outlineLevel="0" collapsed="false"/>
    <row r="10" customFormat="false" ht="7.5" hidden="false" customHeight="true" outlineLevel="0" collapsed="false"/>
    <row r="11" customFormat="false" ht="18" hidden="false" customHeight="true" outlineLevel="0" collapsed="false">
      <c r="A11" s="6" t="s">
        <v>37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9.5" hidden="false" customHeight="true" outlineLevel="0" collapsed="false">
      <c r="A12" s="25" t="s">
        <v>38</v>
      </c>
      <c r="B12" s="26" t="s">
        <v>39</v>
      </c>
      <c r="C12" s="26"/>
      <c r="D12" s="26" t="s">
        <v>40</v>
      </c>
      <c r="E12" s="26"/>
      <c r="F12" s="26" t="s">
        <v>25</v>
      </c>
      <c r="G12" s="26"/>
      <c r="H12" s="26" t="s">
        <v>26</v>
      </c>
      <c r="I12" s="26"/>
    </row>
    <row r="13" customFormat="false" ht="18.75" hidden="false" customHeight="true" outlineLevel="0" collapsed="false">
      <c r="A13" s="27" t="s">
        <v>3</v>
      </c>
      <c r="B13" s="28" t="n">
        <f aca="false">'Saisie mensuelle'!B6</f>
        <v>0</v>
      </c>
      <c r="C13" s="28"/>
      <c r="D13" s="28" t="n">
        <f aca="false">'Saisie mensuelle'!B15</f>
        <v>0</v>
      </c>
      <c r="E13" s="28"/>
      <c r="F13" s="28" t="n">
        <f aca="false">'Saisie mensuelle'!B16</f>
        <v>0</v>
      </c>
      <c r="G13" s="28"/>
      <c r="H13" s="29" t="n">
        <f aca="false">'Saisie mensuelle'!B17</f>
        <v>0</v>
      </c>
      <c r="I13" s="29"/>
    </row>
    <row r="14" customFormat="false" ht="18.75" hidden="false" customHeight="true" outlineLevel="0" collapsed="false">
      <c r="A14" s="30" t="s">
        <v>4</v>
      </c>
      <c r="B14" s="31" t="n">
        <f aca="false">'Saisie mensuelle'!C6</f>
        <v>0</v>
      </c>
      <c r="C14" s="31"/>
      <c r="D14" s="31" t="n">
        <f aca="false">'Saisie mensuelle'!C15</f>
        <v>0</v>
      </c>
      <c r="E14" s="31"/>
      <c r="F14" s="31" t="n">
        <f aca="false">'Saisie mensuelle'!C16</f>
        <v>0</v>
      </c>
      <c r="G14" s="31"/>
      <c r="H14" s="32" t="n">
        <f aca="false">'Saisie mensuelle'!C17</f>
        <v>0</v>
      </c>
      <c r="I14" s="32"/>
    </row>
    <row r="15" customFormat="false" ht="18.75" hidden="false" customHeight="true" outlineLevel="0" collapsed="false">
      <c r="A15" s="27" t="s">
        <v>5</v>
      </c>
      <c r="B15" s="28" t="n">
        <f aca="false">'Saisie mensuelle'!D6</f>
        <v>0</v>
      </c>
      <c r="C15" s="28"/>
      <c r="D15" s="28" t="n">
        <f aca="false">'Saisie mensuelle'!D15</f>
        <v>0</v>
      </c>
      <c r="E15" s="28"/>
      <c r="F15" s="28" t="n">
        <f aca="false">'Saisie mensuelle'!D16</f>
        <v>0</v>
      </c>
      <c r="G15" s="28"/>
      <c r="H15" s="29" t="n">
        <f aca="false">'Saisie mensuelle'!D17</f>
        <v>0</v>
      </c>
      <c r="I15" s="29"/>
    </row>
    <row r="16" customFormat="false" ht="18.75" hidden="false" customHeight="true" outlineLevel="0" collapsed="false">
      <c r="A16" s="30" t="s">
        <v>6</v>
      </c>
      <c r="B16" s="31" t="n">
        <f aca="false">'Saisie mensuelle'!E6</f>
        <v>0</v>
      </c>
      <c r="C16" s="31"/>
      <c r="D16" s="31" t="n">
        <f aca="false">'Saisie mensuelle'!E15</f>
        <v>0</v>
      </c>
      <c r="E16" s="31"/>
      <c r="F16" s="31" t="n">
        <f aca="false">'Saisie mensuelle'!E16</f>
        <v>0</v>
      </c>
      <c r="G16" s="31"/>
      <c r="H16" s="32" t="n">
        <f aca="false">'Saisie mensuelle'!E17</f>
        <v>0</v>
      </c>
      <c r="I16" s="32"/>
    </row>
    <row r="17" customFormat="false" ht="18.75" hidden="false" customHeight="true" outlineLevel="0" collapsed="false">
      <c r="A17" s="27" t="s">
        <v>7</v>
      </c>
      <c r="B17" s="28" t="n">
        <f aca="false">'Saisie mensuelle'!F6</f>
        <v>0</v>
      </c>
      <c r="C17" s="28"/>
      <c r="D17" s="28" t="n">
        <f aca="false">'Saisie mensuelle'!F15</f>
        <v>0</v>
      </c>
      <c r="E17" s="28"/>
      <c r="F17" s="28" t="n">
        <f aca="false">'Saisie mensuelle'!F16</f>
        <v>0</v>
      </c>
      <c r="G17" s="28"/>
      <c r="H17" s="29" t="n">
        <f aca="false">'Saisie mensuelle'!F17</f>
        <v>0</v>
      </c>
      <c r="I17" s="29"/>
    </row>
    <row r="18" customFormat="false" ht="18.75" hidden="false" customHeight="true" outlineLevel="0" collapsed="false">
      <c r="A18" s="30" t="s">
        <v>8</v>
      </c>
      <c r="B18" s="31" t="n">
        <f aca="false">'Saisie mensuelle'!G6</f>
        <v>0</v>
      </c>
      <c r="C18" s="31"/>
      <c r="D18" s="31" t="n">
        <f aca="false">'Saisie mensuelle'!G15</f>
        <v>0</v>
      </c>
      <c r="E18" s="31"/>
      <c r="F18" s="31" t="n">
        <f aca="false">'Saisie mensuelle'!G16</f>
        <v>0</v>
      </c>
      <c r="G18" s="31"/>
      <c r="H18" s="32" t="n">
        <f aca="false">'Saisie mensuelle'!G17</f>
        <v>0</v>
      </c>
      <c r="I18" s="32"/>
    </row>
    <row r="19" customFormat="false" ht="18.75" hidden="false" customHeight="true" outlineLevel="0" collapsed="false">
      <c r="A19" s="27" t="s">
        <v>9</v>
      </c>
      <c r="B19" s="28" t="n">
        <f aca="false">'Saisie mensuelle'!H6</f>
        <v>0</v>
      </c>
      <c r="C19" s="28"/>
      <c r="D19" s="28" t="n">
        <f aca="false">'Saisie mensuelle'!H15</f>
        <v>0</v>
      </c>
      <c r="E19" s="28"/>
      <c r="F19" s="28" t="n">
        <f aca="false">'Saisie mensuelle'!H16</f>
        <v>0</v>
      </c>
      <c r="G19" s="28"/>
      <c r="H19" s="29" t="n">
        <f aca="false">'Saisie mensuelle'!H17</f>
        <v>0</v>
      </c>
      <c r="I19" s="29"/>
    </row>
    <row r="20" customFormat="false" ht="18.75" hidden="false" customHeight="true" outlineLevel="0" collapsed="false">
      <c r="A20" s="30" t="s">
        <v>10</v>
      </c>
      <c r="B20" s="31" t="n">
        <f aca="false">'Saisie mensuelle'!I6</f>
        <v>0</v>
      </c>
      <c r="C20" s="31"/>
      <c r="D20" s="31" t="n">
        <f aca="false">'Saisie mensuelle'!I15</f>
        <v>0</v>
      </c>
      <c r="E20" s="31"/>
      <c r="F20" s="31" t="n">
        <f aca="false">'Saisie mensuelle'!I16</f>
        <v>0</v>
      </c>
      <c r="G20" s="31"/>
      <c r="H20" s="32" t="n">
        <f aca="false">'Saisie mensuelle'!I17</f>
        <v>0</v>
      </c>
      <c r="I20" s="32"/>
    </row>
    <row r="21" customFormat="false" ht="18.75" hidden="false" customHeight="true" outlineLevel="0" collapsed="false">
      <c r="A21" s="27" t="s">
        <v>11</v>
      </c>
      <c r="B21" s="28" t="n">
        <f aca="false">'Saisie mensuelle'!J6</f>
        <v>0</v>
      </c>
      <c r="C21" s="28"/>
      <c r="D21" s="28" t="n">
        <f aca="false">'Saisie mensuelle'!J15</f>
        <v>0</v>
      </c>
      <c r="E21" s="28"/>
      <c r="F21" s="28" t="n">
        <f aca="false">'Saisie mensuelle'!J16</f>
        <v>0</v>
      </c>
      <c r="G21" s="28"/>
      <c r="H21" s="29" t="n">
        <f aca="false">'Saisie mensuelle'!J17</f>
        <v>0</v>
      </c>
      <c r="I21" s="29"/>
    </row>
    <row r="22" customFormat="false" ht="18.75" hidden="false" customHeight="true" outlineLevel="0" collapsed="false">
      <c r="A22" s="30" t="s">
        <v>12</v>
      </c>
      <c r="B22" s="31" t="n">
        <f aca="false">'Saisie mensuelle'!K6</f>
        <v>0</v>
      </c>
      <c r="C22" s="31"/>
      <c r="D22" s="31" t="n">
        <f aca="false">'Saisie mensuelle'!K15</f>
        <v>0</v>
      </c>
      <c r="E22" s="31"/>
      <c r="F22" s="31" t="n">
        <f aca="false">'Saisie mensuelle'!K16</f>
        <v>0</v>
      </c>
      <c r="G22" s="31"/>
      <c r="H22" s="32" t="n">
        <f aca="false">'Saisie mensuelle'!K17</f>
        <v>0</v>
      </c>
      <c r="I22" s="32"/>
    </row>
    <row r="23" customFormat="false" ht="18.75" hidden="false" customHeight="true" outlineLevel="0" collapsed="false">
      <c r="A23" s="27" t="s">
        <v>13</v>
      </c>
      <c r="B23" s="28" t="n">
        <f aca="false">'Saisie mensuelle'!L6</f>
        <v>0</v>
      </c>
      <c r="C23" s="28"/>
      <c r="D23" s="28" t="n">
        <f aca="false">'Saisie mensuelle'!L15</f>
        <v>0</v>
      </c>
      <c r="E23" s="28"/>
      <c r="F23" s="28" t="n">
        <f aca="false">'Saisie mensuelle'!L16</f>
        <v>0</v>
      </c>
      <c r="G23" s="28"/>
      <c r="H23" s="29" t="n">
        <f aca="false">'Saisie mensuelle'!L17</f>
        <v>0</v>
      </c>
      <c r="I23" s="29"/>
    </row>
    <row r="24" customFormat="false" ht="18.75" hidden="false" customHeight="true" outlineLevel="0" collapsed="false">
      <c r="A24" s="30" t="s">
        <v>14</v>
      </c>
      <c r="B24" s="31" t="n">
        <f aca="false">'Saisie mensuelle'!M6</f>
        <v>0</v>
      </c>
      <c r="C24" s="31"/>
      <c r="D24" s="31" t="n">
        <f aca="false">'Saisie mensuelle'!M15</f>
        <v>0</v>
      </c>
      <c r="E24" s="31"/>
      <c r="F24" s="31" t="n">
        <f aca="false">'Saisie mensuelle'!M16</f>
        <v>0</v>
      </c>
      <c r="G24" s="31"/>
      <c r="H24" s="32" t="n">
        <f aca="false">'Saisie mensuelle'!M17</f>
        <v>0</v>
      </c>
      <c r="I24" s="32"/>
    </row>
    <row r="25" customFormat="false" ht="21.75" hidden="false" customHeight="true" outlineLevel="0" collapsed="false">
      <c r="A25" s="33" t="s">
        <v>41</v>
      </c>
      <c r="B25" s="34" t="n">
        <f aca="false">'Saisie mensuelle'!N6</f>
        <v>0</v>
      </c>
      <c r="C25" s="34"/>
      <c r="D25" s="34" t="n">
        <f aca="false">'Saisie mensuelle'!N15</f>
        <v>0</v>
      </c>
      <c r="E25" s="34"/>
      <c r="F25" s="34" t="n">
        <f aca="false">'Saisie mensuelle'!N16</f>
        <v>0</v>
      </c>
      <c r="G25" s="34"/>
      <c r="H25" s="35" t="n">
        <f aca="false">IF('Saisie mensuelle'!N6=0,0,'Saisie mensuelle'!N16/'Saisie mensuelle'!N6)</f>
        <v>0</v>
      </c>
      <c r="I25" s="35"/>
    </row>
    <row r="27" customFormat="false" ht="7.5" hidden="false" customHeight="true" outlineLevel="0" collapsed="false"/>
    <row r="28" customFormat="false" ht="15" hidden="false" customHeight="false" outlineLevel="0" collapsed="false">
      <c r="A28" s="0" t="s">
        <v>42</v>
      </c>
      <c r="B28" s="0" t="s">
        <v>25</v>
      </c>
      <c r="C28" s="0" t="s">
        <v>43</v>
      </c>
    </row>
    <row r="29" customFormat="false" ht="15" hidden="false" customHeight="false" outlineLevel="0" collapsed="false">
      <c r="A29" s="0" t="s">
        <v>3</v>
      </c>
      <c r="B29" s="36" t="n">
        <f aca="false">'Saisie mensuelle'!B16</f>
        <v>0</v>
      </c>
      <c r="C29" s="37" t="n">
        <f aca="false">'Saisie mensuelle'!B17</f>
        <v>0</v>
      </c>
    </row>
    <row r="30" customFormat="false" ht="15" hidden="false" customHeight="false" outlineLevel="0" collapsed="false">
      <c r="A30" s="0" t="s">
        <v>4</v>
      </c>
      <c r="B30" s="36" t="n">
        <f aca="false">'Saisie mensuelle'!C16</f>
        <v>0</v>
      </c>
      <c r="C30" s="37" t="n">
        <f aca="false">'Saisie mensuelle'!C17</f>
        <v>0</v>
      </c>
    </row>
    <row r="31" customFormat="false" ht="15" hidden="false" customHeight="false" outlineLevel="0" collapsed="false">
      <c r="A31" s="0" t="s">
        <v>5</v>
      </c>
      <c r="B31" s="36" t="n">
        <f aca="false">'Saisie mensuelle'!D16</f>
        <v>0</v>
      </c>
      <c r="C31" s="37" t="n">
        <f aca="false">'Saisie mensuelle'!D17</f>
        <v>0</v>
      </c>
    </row>
    <row r="32" customFormat="false" ht="15" hidden="false" customHeight="false" outlineLevel="0" collapsed="false">
      <c r="A32" s="0" t="s">
        <v>6</v>
      </c>
      <c r="B32" s="36" t="n">
        <f aca="false">'Saisie mensuelle'!E16</f>
        <v>0</v>
      </c>
      <c r="C32" s="37" t="n">
        <f aca="false">'Saisie mensuelle'!E17</f>
        <v>0</v>
      </c>
    </row>
    <row r="33" customFormat="false" ht="15" hidden="false" customHeight="false" outlineLevel="0" collapsed="false">
      <c r="A33" s="0" t="s">
        <v>7</v>
      </c>
      <c r="B33" s="36" t="n">
        <f aca="false">'Saisie mensuelle'!F16</f>
        <v>0</v>
      </c>
      <c r="C33" s="37" t="n">
        <f aca="false">'Saisie mensuelle'!F17</f>
        <v>0</v>
      </c>
    </row>
    <row r="34" customFormat="false" ht="15" hidden="false" customHeight="false" outlineLevel="0" collapsed="false">
      <c r="A34" s="0" t="s">
        <v>8</v>
      </c>
      <c r="B34" s="36" t="n">
        <f aca="false">'Saisie mensuelle'!G16</f>
        <v>0</v>
      </c>
      <c r="C34" s="37" t="n">
        <f aca="false">'Saisie mensuelle'!G17</f>
        <v>0</v>
      </c>
    </row>
    <row r="35" customFormat="false" ht="15" hidden="false" customHeight="false" outlineLevel="0" collapsed="false">
      <c r="A35" s="0" t="s">
        <v>9</v>
      </c>
      <c r="B35" s="36" t="n">
        <f aca="false">'Saisie mensuelle'!H16</f>
        <v>0</v>
      </c>
      <c r="C35" s="37" t="n">
        <f aca="false">'Saisie mensuelle'!H17</f>
        <v>0</v>
      </c>
    </row>
    <row r="36" customFormat="false" ht="15" hidden="false" customHeight="false" outlineLevel="0" collapsed="false">
      <c r="A36" s="0" t="s">
        <v>10</v>
      </c>
      <c r="B36" s="36" t="n">
        <f aca="false">'Saisie mensuelle'!I16</f>
        <v>0</v>
      </c>
      <c r="C36" s="37" t="n">
        <f aca="false">'Saisie mensuelle'!I17</f>
        <v>0</v>
      </c>
    </row>
    <row r="37" customFormat="false" ht="15" hidden="false" customHeight="false" outlineLevel="0" collapsed="false">
      <c r="A37" s="0" t="s">
        <v>11</v>
      </c>
      <c r="B37" s="36" t="n">
        <f aca="false">'Saisie mensuelle'!J16</f>
        <v>0</v>
      </c>
      <c r="C37" s="37" t="n">
        <f aca="false">'Saisie mensuelle'!J17</f>
        <v>0</v>
      </c>
    </row>
    <row r="38" customFormat="false" ht="15" hidden="false" customHeight="false" outlineLevel="0" collapsed="false">
      <c r="A38" s="0" t="s">
        <v>12</v>
      </c>
      <c r="B38" s="36" t="n">
        <f aca="false">'Saisie mensuelle'!K16</f>
        <v>0</v>
      </c>
      <c r="C38" s="37" t="n">
        <f aca="false">'Saisie mensuelle'!K17</f>
        <v>0</v>
      </c>
    </row>
    <row r="39" customFormat="false" ht="15" hidden="false" customHeight="false" outlineLevel="0" collapsed="false">
      <c r="A39" s="0" t="s">
        <v>13</v>
      </c>
      <c r="B39" s="36" t="n">
        <f aca="false">'Saisie mensuelle'!L16</f>
        <v>0</v>
      </c>
      <c r="C39" s="37" t="n">
        <f aca="false">'Saisie mensuelle'!L17</f>
        <v>0</v>
      </c>
    </row>
    <row r="40" customFormat="false" ht="15" hidden="false" customHeight="false" outlineLevel="0" collapsed="false">
      <c r="A40" s="0" t="s">
        <v>14</v>
      </c>
      <c r="B40" s="36" t="n">
        <f aca="false">'Saisie mensuelle'!M16</f>
        <v>0</v>
      </c>
      <c r="C40" s="37" t="n">
        <f aca="false">'Saisie mensuelle'!M17</f>
        <v>0</v>
      </c>
    </row>
  </sheetData>
  <mergeCells count="71">
    <mergeCell ref="A1:O1"/>
    <mergeCell ref="A2:O2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A11:N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B19:C19"/>
    <mergeCell ref="D19:E19"/>
    <mergeCell ref="F19:G19"/>
    <mergeCell ref="H19:I19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4:C24"/>
    <mergeCell ref="D24:E24"/>
    <mergeCell ref="F24:G24"/>
    <mergeCell ref="H24:I24"/>
    <mergeCell ref="B25:C25"/>
    <mergeCell ref="D25:E25"/>
    <mergeCell ref="F25:G25"/>
    <mergeCell ref="H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11"/>
  </cols>
  <sheetData>
    <row r="1" customFormat="false" ht="31.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49.5" hidden="false" customHeight="true" outlineLevel="0" collapsed="false">
      <c r="A4" s="38" t="s">
        <v>46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customFormat="false" ht="15" hidden="false" customHeight="false" outlineLevel="0" collapsed="false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customFormat="false" ht="15" hidden="false" customHeight="false" outlineLevel="0" collapsed="false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8" customFormat="false" ht="21.75" hidden="false" customHeight="true" outlineLevel="0" collapsed="false">
      <c r="A8" s="39" t="s">
        <v>47</v>
      </c>
      <c r="B8" s="40" t="s">
        <v>3</v>
      </c>
      <c r="C8" s="40" t="s">
        <v>4</v>
      </c>
      <c r="D8" s="40" t="s">
        <v>5</v>
      </c>
      <c r="E8" s="40" t="s">
        <v>6</v>
      </c>
      <c r="F8" s="40" t="s">
        <v>7</v>
      </c>
      <c r="G8" s="40" t="s">
        <v>8</v>
      </c>
      <c r="H8" s="40" t="s">
        <v>9</v>
      </c>
      <c r="I8" s="40" t="s">
        <v>10</v>
      </c>
      <c r="J8" s="40" t="s">
        <v>11</v>
      </c>
      <c r="K8" s="40" t="s">
        <v>12</v>
      </c>
      <c r="L8" s="40" t="s">
        <v>13</v>
      </c>
      <c r="M8" s="40" t="s">
        <v>14</v>
      </c>
      <c r="N8" s="33" t="s">
        <v>15</v>
      </c>
    </row>
    <row r="9" customFormat="false" ht="19.5" hidden="false" customHeight="true" outlineLevel="0" collapsed="false">
      <c r="A9" s="41" t="s">
        <v>48</v>
      </c>
      <c r="B9" s="42" t="n">
        <f aca="false">'Saisie mensuelle'!B16</f>
        <v>0</v>
      </c>
      <c r="C9" s="42" t="n">
        <f aca="false">'Saisie mensuelle'!C16</f>
        <v>0</v>
      </c>
      <c r="D9" s="42" t="n">
        <f aca="false">'Saisie mensuelle'!D16</f>
        <v>0</v>
      </c>
      <c r="E9" s="42" t="n">
        <f aca="false">'Saisie mensuelle'!E16</f>
        <v>0</v>
      </c>
      <c r="F9" s="42" t="n">
        <f aca="false">'Saisie mensuelle'!F16</f>
        <v>0</v>
      </c>
      <c r="G9" s="42" t="n">
        <f aca="false">'Saisie mensuelle'!G16</f>
        <v>0</v>
      </c>
      <c r="H9" s="42" t="n">
        <f aca="false">'Saisie mensuelle'!H16</f>
        <v>0</v>
      </c>
      <c r="I9" s="42" t="n">
        <f aca="false">'Saisie mensuelle'!I16</f>
        <v>0</v>
      </c>
      <c r="J9" s="42" t="n">
        <f aca="false">'Saisie mensuelle'!J16</f>
        <v>0</v>
      </c>
      <c r="K9" s="42" t="n">
        <f aca="false">'Saisie mensuelle'!K16</f>
        <v>0</v>
      </c>
      <c r="L9" s="42" t="n">
        <f aca="false">'Saisie mensuelle'!L16</f>
        <v>0</v>
      </c>
      <c r="M9" s="42" t="n">
        <f aca="false">'Saisie mensuelle'!M16</f>
        <v>0</v>
      </c>
      <c r="N9" s="42" t="n">
        <f aca="false">'Saisie mensuelle'!N16</f>
        <v>0</v>
      </c>
    </row>
    <row r="10" customFormat="false" ht="18" hidden="false" customHeight="true" outlineLevel="0" collapsed="false">
      <c r="A10" s="6" t="s">
        <v>49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9.5" hidden="false" customHeight="true" outlineLevel="0" collapsed="false">
      <c r="A11" s="7" t="s">
        <v>50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9" t="n">
        <f aca="false">SUM(B11:M11)</f>
        <v>0</v>
      </c>
    </row>
    <row r="12" customFormat="false" ht="19.5" hidden="false" customHeight="true" outlineLevel="0" collapsed="false">
      <c r="A12" s="7" t="s">
        <v>51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9" t="n">
        <f aca="false">SUM(B12:M12)</f>
        <v>0</v>
      </c>
    </row>
    <row r="13" customFormat="false" ht="19.5" hidden="false" customHeight="true" outlineLevel="0" collapsed="false">
      <c r="A13" s="7" t="s">
        <v>52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9" t="n">
        <f aca="false">SUM(B13:M13)</f>
        <v>0</v>
      </c>
    </row>
    <row r="14" customFormat="false" ht="19.5" hidden="false" customHeight="true" outlineLevel="0" collapsed="false">
      <c r="A14" s="7" t="s">
        <v>53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9" t="n">
        <f aca="false">SUM(B14:M14)</f>
        <v>0</v>
      </c>
    </row>
    <row r="15" customFormat="false" ht="21.75" hidden="false" customHeight="true" outlineLevel="0" collapsed="false">
      <c r="A15" s="10" t="s">
        <v>54</v>
      </c>
      <c r="B15" s="11" t="n">
        <f aca="false">B11+B12+B13+B14</f>
        <v>0</v>
      </c>
      <c r="C15" s="11" t="n">
        <f aca="false">C11+C12+C13+C14</f>
        <v>0</v>
      </c>
      <c r="D15" s="11" t="n">
        <f aca="false">D11+D12+D13+D14</f>
        <v>0</v>
      </c>
      <c r="E15" s="11" t="n">
        <f aca="false">E11+E12+E13+E14</f>
        <v>0</v>
      </c>
      <c r="F15" s="11" t="n">
        <f aca="false">F11+F12+F13+F14</f>
        <v>0</v>
      </c>
      <c r="G15" s="11" t="n">
        <f aca="false">G11+G12+G13+G14</f>
        <v>0</v>
      </c>
      <c r="H15" s="11" t="n">
        <f aca="false">H11+H12+H13+H14</f>
        <v>0</v>
      </c>
      <c r="I15" s="11" t="n">
        <f aca="false">I11+I12+I13+I14</f>
        <v>0</v>
      </c>
      <c r="J15" s="11" t="n">
        <f aca="false">J11+J12+J13+J14</f>
        <v>0</v>
      </c>
      <c r="K15" s="11" t="n">
        <f aca="false">K11+K12+K13+K14</f>
        <v>0</v>
      </c>
      <c r="L15" s="11" t="n">
        <f aca="false">L11+L12+L13+L14</f>
        <v>0</v>
      </c>
      <c r="M15" s="11" t="n">
        <f aca="false">M11+M12+M13+M14</f>
        <v>0</v>
      </c>
      <c r="N15" s="11" t="n">
        <f aca="false">SUM(B15:M15)</f>
        <v>0</v>
      </c>
    </row>
    <row r="16" customFormat="false" ht="25.5" hidden="false" customHeight="true" outlineLevel="0" collapsed="false">
      <c r="A16" s="43" t="s">
        <v>55</v>
      </c>
      <c r="B16" s="44" t="n">
        <f aca="false">B9+B15</f>
        <v>0</v>
      </c>
      <c r="C16" s="44" t="n">
        <f aca="false">C9+C15</f>
        <v>0</v>
      </c>
      <c r="D16" s="44" t="n">
        <f aca="false">D9+D15</f>
        <v>0</v>
      </c>
      <c r="E16" s="44" t="n">
        <f aca="false">E9+E15</f>
        <v>0</v>
      </c>
      <c r="F16" s="44" t="n">
        <f aca="false">F9+F15</f>
        <v>0</v>
      </c>
      <c r="G16" s="44" t="n">
        <f aca="false">G9+G15</f>
        <v>0</v>
      </c>
      <c r="H16" s="44" t="n">
        <f aca="false">H9+H15</f>
        <v>0</v>
      </c>
      <c r="I16" s="44" t="n">
        <f aca="false">I9+I15</f>
        <v>0</v>
      </c>
      <c r="J16" s="44" t="n">
        <f aca="false">J9+J15</f>
        <v>0</v>
      </c>
      <c r="K16" s="44" t="n">
        <f aca="false">K9+K15</f>
        <v>0</v>
      </c>
      <c r="L16" s="44" t="n">
        <f aca="false">L9+L15</f>
        <v>0</v>
      </c>
      <c r="M16" s="44" t="n">
        <f aca="false">M9+M15</f>
        <v>0</v>
      </c>
      <c r="N16" s="44" t="n">
        <f aca="false">N9+N15</f>
        <v>0</v>
      </c>
    </row>
    <row r="17" customFormat="false" ht="21.75" hidden="false" customHeight="true" outlineLevel="0" collapsed="false">
      <c r="A17" s="12" t="s">
        <v>56</v>
      </c>
      <c r="B17" s="15" t="n">
        <f aca="false">IF('Saisie mensuelle'!B6=0,0,B16/'Saisie mensuelle'!B6)</f>
        <v>0</v>
      </c>
      <c r="C17" s="15" t="n">
        <f aca="false">IF('Saisie mensuelle'!C6=0,0,C16/'Saisie mensuelle'!C6)</f>
        <v>0</v>
      </c>
      <c r="D17" s="15" t="n">
        <f aca="false">IF('Saisie mensuelle'!D6=0,0,D16/'Saisie mensuelle'!D6)</f>
        <v>0</v>
      </c>
      <c r="E17" s="15" t="n">
        <f aca="false">IF('Saisie mensuelle'!E6=0,0,E16/'Saisie mensuelle'!E6)</f>
        <v>0</v>
      </c>
      <c r="F17" s="15" t="n">
        <f aca="false">IF('Saisie mensuelle'!F6=0,0,F16/'Saisie mensuelle'!F6)</f>
        <v>0</v>
      </c>
      <c r="G17" s="15" t="n">
        <f aca="false">IF('Saisie mensuelle'!G6=0,0,G16/'Saisie mensuelle'!G6)</f>
        <v>0</v>
      </c>
      <c r="H17" s="15" t="n">
        <f aca="false">IF('Saisie mensuelle'!H6=0,0,H16/'Saisie mensuelle'!H6)</f>
        <v>0</v>
      </c>
      <c r="I17" s="15" t="n">
        <f aca="false">IF('Saisie mensuelle'!I6=0,0,I16/'Saisie mensuelle'!I6)</f>
        <v>0</v>
      </c>
      <c r="J17" s="15" t="n">
        <f aca="false">IF('Saisie mensuelle'!J6=0,0,J16/'Saisie mensuelle'!J6)</f>
        <v>0</v>
      </c>
      <c r="K17" s="15" t="n">
        <f aca="false">IF('Saisie mensuelle'!K6=0,0,K16/'Saisie mensuelle'!K6)</f>
        <v>0</v>
      </c>
      <c r="L17" s="15" t="n">
        <f aca="false">IF('Saisie mensuelle'!L6=0,0,L16/'Saisie mensuelle'!L6)</f>
        <v>0</v>
      </c>
      <c r="M17" s="15" t="n">
        <f aca="false">IF('Saisie mensuelle'!M6=0,0,M16/'Saisie mensuelle'!M6)</f>
        <v>0</v>
      </c>
      <c r="N17" s="15" t="n">
        <f aca="false">IF('Saisie mensuelle'!N6=0,0,N16/'Saisie mensuelle'!N6)</f>
        <v>0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6" t="s">
        <v>57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8.75" hidden="false" customHeight="true" outlineLevel="0" collapsed="false">
      <c r="A21" s="45" t="s">
        <v>58</v>
      </c>
      <c r="B21" s="46" t="s">
        <v>59</v>
      </c>
      <c r="C21" s="46"/>
      <c r="D21" s="46"/>
      <c r="E21" s="46"/>
      <c r="F21" s="46"/>
      <c r="G21" s="47" t="s">
        <v>60</v>
      </c>
      <c r="H21" s="47"/>
      <c r="I21" s="47"/>
      <c r="J21" s="47"/>
      <c r="K21" s="47"/>
      <c r="L21" s="47"/>
      <c r="M21" s="47"/>
      <c r="N21" s="47"/>
    </row>
    <row r="22" customFormat="false" ht="18.75" hidden="false" customHeight="true" outlineLevel="0" collapsed="false">
      <c r="A22" s="7" t="s">
        <v>61</v>
      </c>
      <c r="B22" s="48" t="s">
        <v>62</v>
      </c>
      <c r="C22" s="48"/>
      <c r="D22" s="48"/>
      <c r="E22" s="48"/>
      <c r="F22" s="48"/>
      <c r="G22" s="49" t="s">
        <v>63</v>
      </c>
      <c r="H22" s="49"/>
      <c r="I22" s="49"/>
      <c r="J22" s="49"/>
      <c r="K22" s="49"/>
      <c r="L22" s="49"/>
      <c r="M22" s="49"/>
      <c r="N22" s="49"/>
    </row>
    <row r="23" customFormat="false" ht="18.75" hidden="false" customHeight="true" outlineLevel="0" collapsed="false">
      <c r="A23" s="45" t="s">
        <v>64</v>
      </c>
      <c r="B23" s="46" t="s">
        <v>65</v>
      </c>
      <c r="C23" s="46"/>
      <c r="D23" s="46"/>
      <c r="E23" s="46"/>
      <c r="F23" s="46"/>
      <c r="G23" s="47" t="s">
        <v>66</v>
      </c>
      <c r="H23" s="47"/>
      <c r="I23" s="47"/>
      <c r="J23" s="47"/>
      <c r="K23" s="47"/>
      <c r="L23" s="47"/>
      <c r="M23" s="47"/>
      <c r="N23" s="47"/>
    </row>
    <row r="24" customFormat="false" ht="18.75" hidden="false" customHeight="true" outlineLevel="0" collapsed="false">
      <c r="A24" s="7" t="s">
        <v>67</v>
      </c>
      <c r="B24" s="48" t="s">
        <v>68</v>
      </c>
      <c r="C24" s="48"/>
      <c r="D24" s="48"/>
      <c r="E24" s="48"/>
      <c r="F24" s="48"/>
      <c r="G24" s="49" t="s">
        <v>69</v>
      </c>
      <c r="H24" s="49"/>
      <c r="I24" s="49"/>
      <c r="J24" s="49"/>
      <c r="K24" s="49"/>
      <c r="L24" s="49"/>
      <c r="M24" s="49"/>
      <c r="N24" s="49"/>
    </row>
    <row r="26" customFormat="false" ht="7.5" hidden="false" customHeight="true" outlineLevel="0" collapsed="false"/>
    <row r="27" customFormat="false" ht="15" hidden="false" customHeight="false" outlineLevel="0" collapsed="false">
      <c r="A27" s="19" t="s">
        <v>70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</sheetData>
  <mergeCells count="14">
    <mergeCell ref="A1:N1"/>
    <mergeCell ref="A2:N2"/>
    <mergeCell ref="A4:N6"/>
    <mergeCell ref="A10:N10"/>
    <mergeCell ref="A20:N20"/>
    <mergeCell ref="B21:F21"/>
    <mergeCell ref="G21:N21"/>
    <mergeCell ref="B22:F22"/>
    <mergeCell ref="G22:N22"/>
    <mergeCell ref="B23:F23"/>
    <mergeCell ref="G23:N23"/>
    <mergeCell ref="B24:F24"/>
    <mergeCell ref="G24:N24"/>
    <mergeCell ref="A27:N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2026-05-16T16:40:16Z</dcterms:created>
  <dc:creator>openpyxl</dc:creator>
  <dc:description/>
  <dc:language>en-US</dc:language>
  <cp:lastModifiedBy/>
  <dcterms:modified xsi:type="dcterms:W3CDTF">2026-05-16T16:40:30Z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