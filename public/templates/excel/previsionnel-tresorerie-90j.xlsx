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 90J" sheetId="1" state="visible" r:id="rId3"/>
    <sheet name="Config" sheetId="2" state="visible" r:id="rId4"/>
    <sheet name="Flux 13 Semain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<sst xmlns="http://schemas.openxmlformats.org/spreadsheetml/2006/main" count="103" uniqueCount="103">
  <si>
    <t xml:space="preserve">DASHBOARD TRÉSORERIE 90 JOURS — VUE DIRIGEANT</t>
  </si>
  <si>
    <t xml:space="preserve">  KPIs TRÉSORERIE — VUE 90 JOURS</t>
  </si>
  <si>
    <t xml:space="preserve">SOLDE INITIAL</t>
  </si>
  <si>
    <t xml:space="preserve">SOLDE FIN J90</t>
  </si>
  <si>
    <t xml:space="preserve">FLUX NET 90J</t>
  </si>
  <si>
    <t xml:space="preserve">Au démarrage J0</t>
  </si>
  <si>
    <t xml:space="preserve">Fin de semaine 13</t>
  </si>
  <si>
    <t xml:space="preserve">Encaiss. − Décaiss.</t>
  </si>
  <si>
    <t xml:space="preserve">TOTAL ENCAISSÉ</t>
  </si>
  <si>
    <t xml:space="preserve">TOTAL DÉCAISSÉ</t>
  </si>
  <si>
    <t xml:space="preserve">SEMAINES EN ALERTE</t>
  </si>
  <si>
    <t xml:space="preserve">Sur 90 jours</t>
  </si>
  <si>
    <t xml:space="preserve">Fixes + Variables</t>
  </si>
  <si>
    <t xml:space="preserve">Nb semaines critiques</t>
  </si>
  <si>
    <t xml:space="preserve">  SYNTHÈSE PAR MOIS</t>
  </si>
  <si>
    <t xml:space="preserve">Période</t>
  </si>
  <si>
    <t xml:space="preserve">Encaissements</t>
  </si>
  <si>
    <t xml:space="preserve">Décaissements</t>
  </si>
  <si>
    <t xml:space="preserve">Flux net</t>
  </si>
  <si>
    <t xml:space="preserve">Solde fin période</t>
  </si>
  <si>
    <t xml:space="preserve">Statut</t>
  </si>
  <si>
    <t xml:space="preserve">Mois 1 — S1 à S4</t>
  </si>
  <si>
    <t xml:space="preserve">Mois 2 — S5 à S9</t>
  </si>
  <si>
    <t xml:space="preserve">Mois 3 — S10 à S13</t>
  </si>
  <si>
    <t xml:space="preserve">  SCÉNARIOS À 90 JOURS</t>
  </si>
  <si>
    <t xml:space="preserve">Scénario</t>
  </si>
  <si>
    <t xml:space="preserve">Hypothèse</t>
  </si>
  <si>
    <t xml:space="preserve">Flux net 90j</t>
  </si>
  <si>
    <t xml:space="preserve">Solde final</t>
  </si>
  <si>
    <t xml:space="preserve">vs Seuil confort</t>
  </si>
  <si>
    <t xml:space="preserve">Base</t>
  </si>
  <si>
    <t xml:space="preserve">Flux actuels</t>
  </si>
  <si>
    <t xml:space="preserve">Pessimiste (−20%)</t>
  </si>
  <si>
    <t xml:space="preserve">Encaissements ×0.8</t>
  </si>
  <si>
    <t xml:space="preserve">Optimiste (+15%)</t>
  </si>
  <si>
    <t xml:space="preserve">Encaissements ×1.15</t>
  </si>
  <si>
    <t xml:space="preserve">📌  GUIDE D'UTILISATION
1. 'Config' : renseignez le solde initial et vos seuils d'alerte.
2. 'Flux 13 Semaines' : saisissez vos encaissements et décaissements semaine par semaine.
3. Ce Dashboard se recalcule automatiquement — 3 scénarios inclus.
4. Les alertes 🚨⚠️🔔 s'activent automatiquement selon vos seuils.
💡  FinSight — finsight.zineinsight.com</t>
  </si>
  <si>
    <t xml:space="preserve">PRÉVISIONNEL TRÉSORERIE 90 JOURS — CONFIGURATION</t>
  </si>
  <si>
    <t xml:space="preserve">FinSight · Pilotage financier PME · finsight.zineinsight.com</t>
  </si>
  <si>
    <t xml:space="preserve">🏢  ENTREPRISE &amp; PÉRIODE</t>
  </si>
  <si>
    <t xml:space="preserve">Nom de l'entreprise</t>
  </si>
  <si>
    <t xml:space="preserve">Ma PME SAS</t>
  </si>
  <si>
    <t xml:space="preserve">Date de début (S1)</t>
  </si>
  <si>
    <t xml:space="preserve">Ex : 12/05/2026</t>
  </si>
  <si>
    <t xml:space="preserve">Secteur</t>
  </si>
  <si>
    <t xml:space="preserve">Services</t>
  </si>
  <si>
    <t xml:space="preserve">Services / Commerce / Industrie</t>
  </si>
  <si>
    <t xml:space="preserve">🏦  TRÉSORERIE DE DÉPART</t>
  </si>
  <si>
    <t xml:space="preserve">Solde trésorerie initial (J0)</t>
  </si>
  <si>
    <t xml:space="preserve">Solde réel au démarrage</t>
  </si>
  <si>
    <t xml:space="preserve">Seuil alerte rouge</t>
  </si>
  <si>
    <t xml:space="preserve">🚨 Danger immédiat</t>
  </si>
  <si>
    <t xml:space="preserve">Seuil alerte orange</t>
  </si>
  <si>
    <t xml:space="preserve">⚠️ Zone de vigilance</t>
  </si>
  <si>
    <t xml:space="preserve">Seuil confort</t>
  </si>
  <si>
    <t xml:space="preserve">✅ Zone de confort</t>
  </si>
  <si>
    <t xml:space="preserve">📊  HYPOTHÈSES HEBDOMADAIRES TYPES</t>
  </si>
  <si>
    <t xml:space="preserve">Encaissements clients moyens / semaine</t>
  </si>
  <si>
    <t xml:space="preserve">Base de calcul scénario</t>
  </si>
  <si>
    <t xml:space="preserve">Décaissements fixes / semaine</t>
  </si>
  <si>
    <t xml:space="preserve">Salaires + loyer + charges</t>
  </si>
  <si>
    <t xml:space="preserve">Décaissements variables / semaine</t>
  </si>
  <si>
    <t xml:space="preserve">Fournisseurs, divers</t>
  </si>
  <si>
    <t xml:space="preserve">⚡  Cellules jaunes = INPUTS à modifier.
📅  Saisissez semaine par semaine dans 'Flux 13 Semaines'.
🎯  Dashboard et Alertes 30/60/90j se calculent automatiquement.</t>
  </si>
  <si>
    <t xml:space="preserve">FLUX DE TRÉSORERIE — 13 SEMAINES (90 JOURS)</t>
  </si>
  <si>
    <t xml:space="preserve">RUBRIQUE</t>
  </si>
  <si>
    <t xml:space="preserve">S1</t>
  </si>
  <si>
    <t xml:space="preserve">S2</t>
  </si>
  <si>
    <t xml:space="preserve">S3</t>
  </si>
  <si>
    <t xml:space="preserve">S4</t>
  </si>
  <si>
    <t xml:space="preserve">S5</t>
  </si>
  <si>
    <t xml:space="preserve">S6</t>
  </si>
  <si>
    <t xml:space="preserve">S7</t>
  </si>
  <si>
    <t xml:space="preserve">S8</t>
  </si>
  <si>
    <t xml:space="preserve">S9</t>
  </si>
  <si>
    <t xml:space="preserve">S10</t>
  </si>
  <si>
    <t xml:space="preserve">S11</t>
  </si>
  <si>
    <t xml:space="preserve">S12</t>
  </si>
  <si>
    <t xml:space="preserve">S13</t>
  </si>
  <si>
    <t xml:space="preserve">TOTAL</t>
  </si>
  <si>
    <t xml:space="preserve">MOY/SEM</t>
  </si>
  <si>
    <t xml:space="preserve">◀── MOIS 1 (J1-J28) ──▶</t>
  </si>
  <si>
    <t xml:space="preserve">◀──── MOIS 2 (J29-J63) ────▶</t>
  </si>
  <si>
    <t xml:space="preserve">◀── MOIS 3 (J64-J90) ──▶</t>
  </si>
  <si>
    <t xml:space="preserve">  ENCAISSEMENTS</t>
  </si>
  <si>
    <t xml:space="preserve">Encaissements clients</t>
  </si>
  <si>
    <t xml:space="preserve">Autres encaissements (subventions, TVA…)</t>
  </si>
  <si>
    <t xml:space="preserve">▶ TOTAL ENCAISSEMENTS</t>
  </si>
  <si>
    <t xml:space="preserve">  DÉCAISSEMENTS FIXES</t>
  </si>
  <si>
    <t xml:space="preserve">(-) Charges de personnel</t>
  </si>
  <si>
    <t xml:space="preserve">(-) Loyer &amp; charges locatives</t>
  </si>
  <si>
    <t xml:space="preserve">(-) Autres charges fixes</t>
  </si>
  <si>
    <t xml:space="preserve">▶ TOTAL FIXES</t>
  </si>
  <si>
    <t xml:space="preserve">  DÉCAISSEMENTS VARIABLES</t>
  </si>
  <si>
    <t xml:space="preserve">(-) Paiements fournisseurs</t>
  </si>
  <si>
    <t xml:space="preserve">(-) TVA à décaisser (mensuel S4/S9/S13)</t>
  </si>
  <si>
    <t xml:space="preserve">(-) Remboursements d'emprunts</t>
  </si>
  <si>
    <t xml:space="preserve">(-) Investissements ponctuels</t>
  </si>
  <si>
    <t xml:space="preserve">▶ TOTAL VARIABLES</t>
  </si>
  <si>
    <t xml:space="preserve">  SYNTHÈSE HEBDOMADAIRE</t>
  </si>
  <si>
    <t xml:space="preserve">▶ FLUX NET DE LA SEMAINE</t>
  </si>
  <si>
    <t xml:space="preserve">▶ SOLDE EN FIN DE SEMAINE</t>
  </si>
  <si>
    <t xml:space="preserve">  Alerte niveau trésorerie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</si>
</sst>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;\(#,##0&quot; €)&quot;;\-"/>
    <numFmt numFmtId="166" formatCode="#,##0"/>
    <numFmt numFmtId="167" formatCode="@"/>
    <numFmt numFmtId="168" formatCode="dd/mm/yyyy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C9A84C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i val="true"/>
      <sz val="8"/>
      <color rgb="FF9CA3AF"/>
      <name val="Arial"/>
      <family val="0"/>
      <charset val="1"/>
    </font>
    <font>
      <i val="true"/>
      <sz val="8"/>
      <color rgb="FFFFFFFF"/>
      <name val="Arial"/>
      <family val="0"/>
      <charset val="1"/>
    </font>
    <font>
      <b val="true"/>
      <sz val="18"/>
      <color rgb="FF1B2B4B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55724"/>
      <name val="Arial"/>
      <family val="0"/>
      <charset val="1"/>
    </font>
    <font>
      <i val="true"/>
      <sz val="9"/>
      <color rgb="FF9CA3AF"/>
      <name val="Arial"/>
      <family val="0"/>
      <charset val="1"/>
    </font>
    <font>
      <sz val="10"/>
      <color rgb="FF155724"/>
      <name val="Arial"/>
      <family val="0"/>
      <charset val="1"/>
    </font>
    <font>
      <b val="true"/>
      <sz val="10"/>
      <color rgb="FF721C24"/>
      <name val="Arial"/>
      <family val="0"/>
      <charset val="1"/>
    </font>
    <font>
      <sz val="10"/>
      <color rgb="FF721C24"/>
      <name val="Arial"/>
      <family val="0"/>
      <charset val="1"/>
    </font>
    <font>
      <sz val="10"/>
      <color rgb="FF2D2D2D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8"/>
      <color rgb="FF1B2B4B"/>
      <name val="Arial"/>
      <family val="0"/>
      <charset val="1"/>
    </font>
    <font>
      <i val="true"/>
      <sz val="10"/>
      <color rgb="FF9CA3AF"/>
      <name val="Arial"/>
      <family val="0"/>
      <charset val="1"/>
    </font>
    <font>
      <sz val="10"/>
      <color rgb="FFDC3545"/>
      <name val="Arial"/>
      <family val="0"/>
      <charset val="1"/>
    </font>
    <font>
      <b val="true"/>
      <sz val="9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B2B4B"/>
        <bgColor rgb="FF2D2D2D"/>
      </patternFill>
    </fill>
    <fill>
      <patternFill patternType="solid">
        <fgColor rgb="FFC9A84C"/>
        <bgColor rgb="FF9CA3AF"/>
      </patternFill>
    </fill>
    <fill>
      <patternFill patternType="solid">
        <fgColor rgb="FF155724"/>
        <bgColor rgb="FF333300"/>
      </patternFill>
    </fill>
    <fill>
      <patternFill patternType="solid">
        <fgColor rgb="FFF5F5F5"/>
        <bgColor rgb="FFE8F4FD"/>
      </patternFill>
    </fill>
    <fill>
      <patternFill patternType="solid">
        <fgColor rgb="FFFFFFFF"/>
        <bgColor rgb="FFFFF9E6"/>
      </patternFill>
    </fill>
    <fill>
      <patternFill patternType="solid">
        <fgColor rgb="FFD4EDDA"/>
        <bgColor rgb="FFDDDDDD"/>
      </patternFill>
    </fill>
    <fill>
      <patternFill patternType="solid">
        <fgColor rgb="FFF8D7DA"/>
        <bgColor rgb="FFDDDDDD"/>
      </patternFill>
    </fill>
    <fill>
      <patternFill patternType="solid">
        <fgColor rgb="FFFFF9E6"/>
        <bgColor rgb="FFFFF5D6"/>
      </patternFill>
    </fill>
    <fill>
      <patternFill patternType="solid">
        <fgColor rgb="FFE8F4FD"/>
        <bgColor rgb="FFF5F5F5"/>
      </patternFill>
    </fill>
    <fill>
      <patternFill patternType="solid">
        <fgColor rgb="FFFFF5D6"/>
        <bgColor rgb="FFFFF9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3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7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0" fillId="9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11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7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7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8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2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21C24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C3545"/>
      <rgbColor rgb="FFFFF5D6"/>
      <rgbColor rgb="FFE8F4FD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FF9E6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C9A84C"/>
      <rgbColor rgb="FFFF6600"/>
      <rgbColor rgb="FF666699"/>
      <rgbColor rgb="FF9CA3AF"/>
      <rgbColor rgb="FF1B2B4B"/>
      <rgbColor rgb="FF339966"/>
      <rgbColor rgb="FF155724"/>
      <rgbColor rgb="FF333300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7" min="2" style="0" width="16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</row>
    <row r="2" customFormat="false" ht="39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</row>
    <row r="5" customFormat="false" ht="15" hidden="false" customHeight="false" outlineLevel="0" collapsed="false">
      <c r="A5" s="3" t="s">
        <v>1</v>
      </c>
      <c r="B5" s="3"/>
      <c r="C5" s="3"/>
      <c r="D5" s="3"/>
      <c r="E5" s="3"/>
      <c r="F5" s="3"/>
      <c r="G5" s="3"/>
    </row>
    <row r="6" customFormat="false" ht="13.5" hidden="false" customHeight="true" outlineLevel="0" collapsed="false">
      <c r="A6" s="4" t="s">
        <v>2</v>
      </c>
      <c r="B6" s="4"/>
      <c r="C6" s="5" t="s">
        <v>3</v>
      </c>
      <c r="D6" s="5"/>
      <c r="E6" s="6" t="s">
        <v>4</v>
      </c>
      <c r="F6" s="6"/>
    </row>
    <row r="7" customFormat="false" ht="37.5" hidden="false" customHeight="true" outlineLevel="0" collapsed="false">
      <c r="A7" s="7" t="n">
        <f aca="false">Config!$B$12</f>
        <v>80000</v>
      </c>
      <c r="B7" s="7"/>
      <c r="C7" s="8" t="n">
        <f aca="false">'Flux 13 Semaines'!N24</f>
        <v>134600</v>
      </c>
      <c r="D7" s="8"/>
      <c r="E7" s="9" t="n">
        <f aca="false">'Flux 13 Semaines'!O23</f>
        <v>54600</v>
      </c>
      <c r="F7" s="9"/>
    </row>
    <row r="8" customFormat="false" ht="18" hidden="false" customHeight="true" outlineLevel="0" collapsed="false">
      <c r="A8" s="10" t="s">
        <v>5</v>
      </c>
      <c r="B8" s="10"/>
      <c r="C8" s="11" t="s">
        <v>6</v>
      </c>
      <c r="D8" s="11"/>
      <c r="E8" s="12" t="s">
        <v>7</v>
      </c>
      <c r="F8" s="12"/>
    </row>
    <row r="9" customFormat="false" ht="9.75" hidden="false" customHeight="true" outlineLevel="0" collapsed="false">
      <c r="A9" s="13"/>
      <c r="B9" s="13"/>
      <c r="C9" s="14"/>
      <c r="D9" s="14"/>
      <c r="E9" s="15"/>
      <c r="F9" s="15"/>
    </row>
    <row r="11" customFormat="false" ht="13.5" hidden="false" customHeight="true" outlineLevel="0" collapsed="false">
      <c r="A11" s="16" t="s">
        <v>8</v>
      </c>
      <c r="B11" s="16"/>
      <c r="C11" s="16" t="s">
        <v>9</v>
      </c>
      <c r="D11" s="16"/>
      <c r="E11" s="16" t="s">
        <v>10</v>
      </c>
      <c r="F11" s="16"/>
    </row>
    <row r="12" customFormat="false" ht="37.5" hidden="false" customHeight="true" outlineLevel="0" collapsed="false">
      <c r="A12" s="17" t="n">
        <f aca="false">'Flux 13 Semaines'!O10</f>
        <v>234000</v>
      </c>
      <c r="B12" s="17"/>
      <c r="C12" s="17" t="n">
        <f aca="false">'Flux 13 Semaines'!O15+'Flux 13 Semaines'!O21</f>
        <v>179400</v>
      </c>
      <c r="D12" s="17"/>
      <c r="E12" s="18" t="n">
        <f aca="false">COUNTIF('Flux 13 Semaines'!B25:N25,"🚨 DANGER")+COUNTIF('Flux 13 Semaines'!B25:N25,"⚠️ Vigilance")</f>
        <v>0</v>
      </c>
      <c r="F12" s="18"/>
    </row>
    <row r="13" customFormat="false" ht="18" hidden="false" customHeight="true" outlineLevel="0" collapsed="false">
      <c r="A13" s="19" t="s">
        <v>11</v>
      </c>
      <c r="B13" s="19"/>
      <c r="C13" s="19" t="s">
        <v>12</v>
      </c>
      <c r="D13" s="19"/>
      <c r="E13" s="19" t="s">
        <v>13</v>
      </c>
      <c r="F13" s="19"/>
    </row>
    <row r="14" customFormat="false" ht="9.75" hidden="false" customHeight="true" outlineLevel="0" collapsed="false">
      <c r="A14" s="20"/>
      <c r="B14" s="20"/>
      <c r="C14" s="20"/>
      <c r="D14" s="20"/>
      <c r="E14" s="20"/>
      <c r="F14" s="20"/>
    </row>
    <row r="17" customFormat="false" ht="15" hidden="false" customHeight="false" outlineLevel="0" collapsed="false">
      <c r="A17" s="3" t="s">
        <v>14</v>
      </c>
      <c r="B17" s="3"/>
      <c r="C17" s="3"/>
      <c r="D17" s="3"/>
      <c r="E17" s="3"/>
      <c r="F17" s="3"/>
      <c r="G17" s="3"/>
    </row>
    <row r="18" customFormat="false" ht="21.75" hidden="false" customHeight="true" outlineLevel="0" collapsed="false">
      <c r="A18" s="21" t="s">
        <v>15</v>
      </c>
      <c r="B18" s="21" t="s">
        <v>16</v>
      </c>
      <c r="C18" s="21" t="s">
        <v>17</v>
      </c>
      <c r="D18" s="21" t="s">
        <v>18</v>
      </c>
      <c r="E18" s="21" t="s">
        <v>19</v>
      </c>
      <c r="F18" s="21" t="s">
        <v>20</v>
      </c>
      <c r="G18" s="21"/>
    </row>
    <row r="19" customFormat="false" ht="21.75" hidden="false" customHeight="true" outlineLevel="0" collapsed="false">
      <c r="A19" s="22" t="s">
        <v>21</v>
      </c>
      <c r="B19" s="23" t="n">
        <f aca="false">SUM('Flux 13 Semaines'!B10:E10)</f>
        <v>72000</v>
      </c>
      <c r="C19" s="23" t="n">
        <f aca="false">SUM('Flux 13 Semaines'!B15:E15)+SUM('Flux 13 Semaines'!B21:E21)</f>
        <v>55200</v>
      </c>
      <c r="D19" s="23" t="n">
        <f aca="false">SUM('Flux 13 Semaines'!B23:E23)</f>
        <v>16800</v>
      </c>
      <c r="E19" s="23" t="n">
        <f aca="false">'Flux 13 Semaines'!E24</f>
        <v>96800</v>
      </c>
      <c r="F19" s="24" t="str">
        <f aca="false">IF('Flux 13 Semaines'!E24&lt;Config!$B$13,"🚨 DANGER",IF('Flux 13 Semaines'!E24&lt;Config!$B$14,"⚠️ Vigilance",IF('Flux 13 Semaines'!E24&lt;Config!$B$15,"🔔 Surveiller","✅ OK")))</f>
        <v>✅ OK</v>
      </c>
      <c r="G19" s="25"/>
    </row>
    <row r="20" customFormat="false" ht="21.75" hidden="false" customHeight="true" outlineLevel="0" collapsed="false">
      <c r="A20" s="22" t="s">
        <v>22</v>
      </c>
      <c r="B20" s="26" t="n">
        <f aca="false">SUM('Flux 13 Semaines'!F10:J10)</f>
        <v>90000</v>
      </c>
      <c r="C20" s="26" t="n">
        <f aca="false">SUM('Flux 13 Semaines'!F15:J15)+SUM('Flux 13 Semaines'!F21:J21)</f>
        <v>69000</v>
      </c>
      <c r="D20" s="26" t="n">
        <f aca="false">SUM('Flux 13 Semaines'!F23:J23)</f>
        <v>21000</v>
      </c>
      <c r="E20" s="26" t="n">
        <f aca="false">'Flux 13 Semaines'!J24</f>
        <v>117800</v>
      </c>
      <c r="F20" s="27" t="str">
        <f aca="false">IF('Flux 13 Semaines'!J24&lt;Config!$B$13,"🚨 DANGER",IF('Flux 13 Semaines'!J24&lt;Config!$B$14,"⚠️ Vigilance",IF('Flux 13 Semaines'!J24&lt;Config!$B$15,"🔔 Surveiller","✅ OK")))</f>
        <v>✅ OK</v>
      </c>
      <c r="G20" s="28"/>
    </row>
    <row r="21" customFormat="false" ht="21.75" hidden="false" customHeight="true" outlineLevel="0" collapsed="false">
      <c r="A21" s="22" t="s">
        <v>23</v>
      </c>
      <c r="B21" s="23" t="n">
        <f aca="false">SUM('Flux 13 Semaines'!K10:N10)</f>
        <v>72000</v>
      </c>
      <c r="C21" s="23" t="n">
        <f aca="false">SUM('Flux 13 Semaines'!K15:N15)+SUM('Flux 13 Semaines'!K21:N21)</f>
        <v>55200</v>
      </c>
      <c r="D21" s="23" t="n">
        <f aca="false">SUM('Flux 13 Semaines'!K23:N23)</f>
        <v>16800</v>
      </c>
      <c r="E21" s="23" t="n">
        <f aca="false">'Flux 13 Semaines'!N24</f>
        <v>134600</v>
      </c>
      <c r="F21" s="24" t="str">
        <f aca="false">IF('Flux 13 Semaines'!N24&lt;Config!$B$13,"🚨 DANGER",IF('Flux 13 Semaines'!N24&lt;Config!$B$14,"⚠️ Vigilance",IF('Flux 13 Semaines'!N24&lt;Config!$B$15,"🔔 Surveiller","✅ OK")))</f>
        <v>✅ OK</v>
      </c>
      <c r="G21" s="25"/>
    </row>
    <row r="23" customFormat="false" ht="15" hidden="false" customHeight="false" outlineLevel="0" collapsed="false">
      <c r="A23" s="3" t="s">
        <v>24</v>
      </c>
      <c r="B23" s="3"/>
      <c r="C23" s="3"/>
      <c r="D23" s="3"/>
      <c r="E23" s="3"/>
      <c r="F23" s="3"/>
      <c r="G23" s="3"/>
    </row>
    <row r="24" customFormat="false" ht="21.75" hidden="false" customHeight="true" outlineLevel="0" collapsed="false">
      <c r="A24" s="21" t="s">
        <v>25</v>
      </c>
      <c r="B24" s="21" t="s">
        <v>26</v>
      </c>
      <c r="C24" s="21" t="s">
        <v>27</v>
      </c>
      <c r="D24" s="21" t="s">
        <v>28</v>
      </c>
      <c r="E24" s="21" t="s">
        <v>29</v>
      </c>
      <c r="F24" s="21"/>
      <c r="G24" s="21"/>
    </row>
    <row r="25" customFormat="false" ht="21.75" hidden="false" customHeight="true" outlineLevel="0" collapsed="false">
      <c r="A25" s="29" t="s">
        <v>30</v>
      </c>
      <c r="B25" s="30" t="s">
        <v>31</v>
      </c>
      <c r="C25" s="31" t="n">
        <f aca="false">'Flux 13 Semaines'!O23</f>
        <v>54600</v>
      </c>
      <c r="D25" s="31" t="n">
        <f aca="false">'Flux 13 Semaines'!N24</f>
        <v>134600</v>
      </c>
      <c r="E25" s="32" t="n">
        <f aca="false">D25-Config!$B$15</f>
        <v>84600</v>
      </c>
      <c r="F25" s="33"/>
      <c r="G25" s="33"/>
    </row>
    <row r="26" customFormat="false" ht="21.75" hidden="false" customHeight="true" outlineLevel="0" collapsed="false">
      <c r="A26" s="34" t="s">
        <v>32</v>
      </c>
      <c r="B26" s="35" t="s">
        <v>33</v>
      </c>
      <c r="C26" s="36" t="n">
        <f aca="false">'Flux 13 Semaines'!O10*0.8-'Flux 13 Semaines'!O15-'Flux 13 Semaines'!O21</f>
        <v>7800</v>
      </c>
      <c r="D26" s="36" t="n">
        <f aca="false">Config!$B$12+('Flux 13 Semaines'!O10*0.8-'Flux 13 Semaines'!O15-'Flux 13 Semaines'!O21)</f>
        <v>87800</v>
      </c>
      <c r="E26" s="37" t="n">
        <f aca="false">D26-Config!$B$15</f>
        <v>37800</v>
      </c>
      <c r="F26" s="38"/>
      <c r="G26" s="38"/>
    </row>
    <row r="27" customFormat="false" ht="21.75" hidden="false" customHeight="true" outlineLevel="0" collapsed="false">
      <c r="A27" s="29" t="s">
        <v>34</v>
      </c>
      <c r="B27" s="30" t="s">
        <v>35</v>
      </c>
      <c r="C27" s="31" t="n">
        <f aca="false">'Flux 13 Semaines'!O10*1.15-'Flux 13 Semaines'!O15-'Flux 13 Semaines'!O21</f>
        <v>89700</v>
      </c>
      <c r="D27" s="31" t="n">
        <f aca="false">Config!$B$12+('Flux 13 Semaines'!O10*1.15-'Flux 13 Semaines'!O15-'Flux 13 Semaines'!O21)</f>
        <v>169700</v>
      </c>
      <c r="E27" s="32" t="n">
        <f aca="false">D27-Config!$B$15</f>
        <v>119700</v>
      </c>
      <c r="F27" s="33"/>
      <c r="G27" s="33"/>
    </row>
    <row r="30" customFormat="false" ht="18" hidden="false" customHeight="true" outlineLevel="0" collapsed="false">
      <c r="A30" s="39" t="s">
        <v>36</v>
      </c>
      <c r="B30" s="39"/>
      <c r="C30" s="39"/>
      <c r="D30" s="39"/>
      <c r="E30" s="39"/>
      <c r="F30" s="39"/>
      <c r="G30" s="39"/>
    </row>
    <row r="31" customFormat="false" ht="18" hidden="false" customHeight="true" outlineLevel="0" collapsed="false">
      <c r="A31" s="39"/>
      <c r="B31" s="39"/>
      <c r="C31" s="39"/>
      <c r="D31" s="39"/>
      <c r="E31" s="39"/>
      <c r="F31" s="39"/>
      <c r="G31" s="39"/>
    </row>
    <row r="32" customFormat="false" ht="18" hidden="false" customHeight="true" outlineLevel="0" collapsed="false">
      <c r="A32" s="39"/>
      <c r="B32" s="39"/>
      <c r="C32" s="39"/>
      <c r="D32" s="39"/>
      <c r="E32" s="39"/>
      <c r="F32" s="39"/>
      <c r="G32" s="39"/>
    </row>
    <row r="33" customFormat="false" ht="18" hidden="false" customHeight="true" outlineLevel="0" collapsed="false">
      <c r="A33" s="39"/>
      <c r="B33" s="39"/>
      <c r="C33" s="39"/>
      <c r="D33" s="39"/>
      <c r="E33" s="39"/>
      <c r="F33" s="39"/>
      <c r="G33" s="39"/>
    </row>
    <row r="34" customFormat="false" ht="18" hidden="false" customHeight="true" outlineLevel="0" collapsed="false">
      <c r="A34" s="39"/>
      <c r="B34" s="39"/>
      <c r="C34" s="39"/>
      <c r="D34" s="39"/>
      <c r="E34" s="39"/>
      <c r="F34" s="39"/>
      <c r="G34" s="39"/>
    </row>
  </sheetData>
  <mergeCells count="29">
    <mergeCell ref="A2:G2"/>
    <mergeCell ref="A5:G5"/>
    <mergeCell ref="A6:B6"/>
    <mergeCell ref="C6:D6"/>
    <mergeCell ref="E6:F6"/>
    <mergeCell ref="A7:B7"/>
    <mergeCell ref="C7:D7"/>
    <mergeCell ref="E7:F7"/>
    <mergeCell ref="A8:B8"/>
    <mergeCell ref="C8:D8"/>
    <mergeCell ref="E8:F8"/>
    <mergeCell ref="A9:B9"/>
    <mergeCell ref="C9:D9"/>
    <mergeCell ref="E9:F9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7:G17"/>
    <mergeCell ref="A23:G23"/>
    <mergeCell ref="A30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1"/>
      <c r="B1" s="1"/>
      <c r="C1" s="1"/>
    </row>
    <row r="2" customFormat="false" ht="39.75" hidden="false" customHeight="true" outlineLevel="0" collapsed="false">
      <c r="A2" s="40" t="s">
        <v>37</v>
      </c>
      <c r="B2" s="40"/>
      <c r="C2" s="40"/>
    </row>
    <row r="3" customFormat="false" ht="15" hidden="false" customHeight="false" outlineLevel="0" collapsed="false">
      <c r="A3" s="1"/>
      <c r="B3" s="1"/>
      <c r="C3" s="1"/>
    </row>
    <row r="4" customFormat="false" ht="15" hidden="false" customHeight="true" outlineLevel="0" collapsed="false">
      <c r="A4" s="41" t="s">
        <v>38</v>
      </c>
      <c r="B4" s="41"/>
      <c r="C4" s="41"/>
    </row>
    <row r="6" customFormat="false" ht="21.75" hidden="false" customHeight="true" outlineLevel="0" collapsed="false">
      <c r="A6" s="3" t="s">
        <v>39</v>
      </c>
      <c r="B6" s="3"/>
      <c r="C6" s="3"/>
    </row>
    <row r="7" customFormat="false" ht="19.5" hidden="false" customHeight="true" outlineLevel="0" collapsed="false">
      <c r="A7" s="42" t="s">
        <v>40</v>
      </c>
      <c r="B7" s="43" t="s">
        <v>41</v>
      </c>
      <c r="C7" s="44"/>
    </row>
    <row r="8" customFormat="false" ht="19.5" hidden="false" customHeight="true" outlineLevel="0" collapsed="false">
      <c r="A8" s="45" t="s">
        <v>42</v>
      </c>
      <c r="B8" s="46"/>
      <c r="C8" s="47" t="s">
        <v>43</v>
      </c>
    </row>
    <row r="9" customFormat="false" ht="19.5" hidden="false" customHeight="true" outlineLevel="0" collapsed="false">
      <c r="A9" s="42" t="s">
        <v>44</v>
      </c>
      <c r="B9" s="43" t="s">
        <v>45</v>
      </c>
      <c r="C9" s="44" t="s">
        <v>46</v>
      </c>
    </row>
    <row r="11" customFormat="false" ht="21.75" hidden="false" customHeight="true" outlineLevel="0" collapsed="false">
      <c r="A11" s="3" t="s">
        <v>47</v>
      </c>
      <c r="B11" s="3"/>
      <c r="C11" s="3"/>
    </row>
    <row r="12" customFormat="false" ht="19.5" hidden="false" customHeight="true" outlineLevel="0" collapsed="false">
      <c r="A12" s="45" t="s">
        <v>48</v>
      </c>
      <c r="B12" s="48" t="n">
        <v>80000</v>
      </c>
      <c r="C12" s="47" t="s">
        <v>49</v>
      </c>
    </row>
    <row r="13" customFormat="false" ht="19.5" hidden="false" customHeight="true" outlineLevel="0" collapsed="false">
      <c r="A13" s="42" t="s">
        <v>50</v>
      </c>
      <c r="B13" s="48" t="n">
        <v>15000</v>
      </c>
      <c r="C13" s="44" t="s">
        <v>51</v>
      </c>
    </row>
    <row r="14" customFormat="false" ht="19.5" hidden="false" customHeight="true" outlineLevel="0" collapsed="false">
      <c r="A14" s="45" t="s">
        <v>52</v>
      </c>
      <c r="B14" s="48" t="n">
        <v>30000</v>
      </c>
      <c r="C14" s="47" t="s">
        <v>53</v>
      </c>
    </row>
    <row r="15" customFormat="false" ht="19.5" hidden="false" customHeight="true" outlineLevel="0" collapsed="false">
      <c r="A15" s="42" t="s">
        <v>54</v>
      </c>
      <c r="B15" s="48" t="n">
        <v>50000</v>
      </c>
      <c r="C15" s="44" t="s">
        <v>55</v>
      </c>
    </row>
    <row r="17" customFormat="false" ht="21.75" hidden="false" customHeight="true" outlineLevel="0" collapsed="false">
      <c r="A17" s="3" t="s">
        <v>56</v>
      </c>
      <c r="B17" s="3"/>
      <c r="C17" s="3"/>
    </row>
    <row r="18" customFormat="false" ht="19.5" hidden="false" customHeight="true" outlineLevel="0" collapsed="false">
      <c r="A18" s="45" t="s">
        <v>57</v>
      </c>
      <c r="B18" s="48" t="n">
        <v>18000</v>
      </c>
      <c r="C18" s="47" t="s">
        <v>58</v>
      </c>
    </row>
    <row r="19" customFormat="false" ht="19.5" hidden="false" customHeight="true" outlineLevel="0" collapsed="false">
      <c r="A19" s="42" t="s">
        <v>59</v>
      </c>
      <c r="B19" s="48" t="n">
        <v>12000</v>
      </c>
      <c r="C19" s="44" t="s">
        <v>60</v>
      </c>
    </row>
    <row r="20" customFormat="false" ht="19.5" hidden="false" customHeight="true" outlineLevel="0" collapsed="false">
      <c r="A20" s="45" t="s">
        <v>61</v>
      </c>
      <c r="B20" s="48" t="n">
        <v>3000</v>
      </c>
      <c r="C20" s="47" t="s">
        <v>62</v>
      </c>
    </row>
    <row r="23" customFormat="false" ht="60" hidden="false" customHeight="true" outlineLevel="0" collapsed="false">
      <c r="A23" s="39" t="s">
        <v>63</v>
      </c>
      <c r="B23" s="39"/>
      <c r="C23" s="39"/>
    </row>
  </sheetData>
  <mergeCells count="6">
    <mergeCell ref="A2:C2"/>
    <mergeCell ref="A4:C4"/>
    <mergeCell ref="A6:C6"/>
    <mergeCell ref="A11:C11"/>
    <mergeCell ref="A17:C17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14" min="2" style="0" width="10"/>
    <col collapsed="false" customWidth="true" hidden="false" outlineLevel="0" max="16" min="15" style="0" width="1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39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5" customFormat="false" ht="27.75" hidden="false" customHeight="true" outlineLevel="0" collapsed="false">
      <c r="A5" s="21" t="s">
        <v>65</v>
      </c>
      <c r="B5" s="21" t="s">
        <v>66</v>
      </c>
      <c r="C5" s="21" t="s">
        <v>67</v>
      </c>
      <c r="D5" s="21" t="s">
        <v>68</v>
      </c>
      <c r="E5" s="21" t="s">
        <v>69</v>
      </c>
      <c r="F5" s="21" t="s">
        <v>70</v>
      </c>
      <c r="G5" s="21" t="s">
        <v>71</v>
      </c>
      <c r="H5" s="21" t="s">
        <v>72</v>
      </c>
      <c r="I5" s="21" t="s">
        <v>73</v>
      </c>
      <c r="J5" s="21" t="s">
        <v>74</v>
      </c>
      <c r="K5" s="21" t="s">
        <v>75</v>
      </c>
      <c r="L5" s="21" t="s">
        <v>76</v>
      </c>
      <c r="M5" s="21" t="s">
        <v>77</v>
      </c>
      <c r="N5" s="21" t="s">
        <v>78</v>
      </c>
      <c r="O5" s="49" t="s">
        <v>79</v>
      </c>
      <c r="P5" s="49" t="s">
        <v>80</v>
      </c>
    </row>
    <row r="6" customFormat="false" ht="15.75" hidden="false" customHeight="true" outlineLevel="0" collapsed="false">
      <c r="A6" s="50"/>
      <c r="B6" s="51" t="s">
        <v>81</v>
      </c>
      <c r="C6" s="51"/>
      <c r="D6" s="51"/>
      <c r="E6" s="51"/>
      <c r="F6" s="52" t="s">
        <v>82</v>
      </c>
      <c r="G6" s="52"/>
      <c r="H6" s="52"/>
      <c r="I6" s="52"/>
      <c r="J6" s="52"/>
      <c r="K6" s="53" t="s">
        <v>83</v>
      </c>
      <c r="L6" s="53"/>
      <c r="M6" s="53"/>
      <c r="N6" s="53"/>
      <c r="O6" s="50"/>
      <c r="P6" s="50"/>
    </row>
    <row r="7" customFormat="false" ht="21.75" hidden="false" customHeight="true" outlineLevel="0" collapsed="false">
      <c r="A7" s="3" t="s">
        <v>84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customFormat="false" ht="19.5" hidden="false" customHeight="true" outlineLevel="0" collapsed="false">
      <c r="A8" s="45" t="s">
        <v>85</v>
      </c>
      <c r="B8" s="48" t="n">
        <f aca="false">Config!$B$18</f>
        <v>18000</v>
      </c>
      <c r="C8" s="48" t="n">
        <f aca="false">Config!$B$18</f>
        <v>18000</v>
      </c>
      <c r="D8" s="48" t="n">
        <f aca="false">Config!$B$18</f>
        <v>18000</v>
      </c>
      <c r="E8" s="48" t="n">
        <f aca="false">Config!$B$18</f>
        <v>18000</v>
      </c>
      <c r="F8" s="48" t="n">
        <f aca="false">Config!$B$18</f>
        <v>18000</v>
      </c>
      <c r="G8" s="48" t="n">
        <f aca="false">Config!$B$18</f>
        <v>18000</v>
      </c>
      <c r="H8" s="48" t="n">
        <f aca="false">Config!$B$18</f>
        <v>18000</v>
      </c>
      <c r="I8" s="48" t="n">
        <f aca="false">Config!$B$18</f>
        <v>18000</v>
      </c>
      <c r="J8" s="48" t="n">
        <f aca="false">Config!$B$18</f>
        <v>18000</v>
      </c>
      <c r="K8" s="48" t="n">
        <f aca="false">Config!$B$18</f>
        <v>18000</v>
      </c>
      <c r="L8" s="48" t="n">
        <f aca="false">Config!$B$18</f>
        <v>18000</v>
      </c>
      <c r="M8" s="48" t="n">
        <f aca="false">Config!$B$18</f>
        <v>18000</v>
      </c>
      <c r="N8" s="48" t="n">
        <f aca="false">Config!$B$18</f>
        <v>18000</v>
      </c>
      <c r="O8" s="54" t="n">
        <f aca="false">SUM(B8:N8)</f>
        <v>234000</v>
      </c>
      <c r="P8" s="55" t="n">
        <f aca="false">O8/13</f>
        <v>18000</v>
      </c>
    </row>
    <row r="9" customFormat="false" ht="19.5" hidden="false" customHeight="true" outlineLevel="0" collapsed="false">
      <c r="A9" s="42" t="s">
        <v>86</v>
      </c>
      <c r="B9" s="48" t="n">
        <v>0</v>
      </c>
      <c r="C9" s="48" t="n">
        <v>0</v>
      </c>
      <c r="D9" s="48" t="n">
        <v>0</v>
      </c>
      <c r="E9" s="48" t="n">
        <v>0</v>
      </c>
      <c r="F9" s="48" t="n">
        <v>0</v>
      </c>
      <c r="G9" s="48" t="n">
        <v>0</v>
      </c>
      <c r="H9" s="48" t="n">
        <v>0</v>
      </c>
      <c r="I9" s="48" t="n">
        <v>0</v>
      </c>
      <c r="J9" s="48" t="n">
        <v>0</v>
      </c>
      <c r="K9" s="48" t="n">
        <v>0</v>
      </c>
      <c r="L9" s="48" t="n">
        <v>0</v>
      </c>
      <c r="M9" s="48" t="n">
        <v>0</v>
      </c>
      <c r="N9" s="48" t="n">
        <v>0</v>
      </c>
      <c r="O9" s="54" t="n">
        <f aca="false">SUM(B9:N9)</f>
        <v>0</v>
      </c>
      <c r="P9" s="55" t="n">
        <f aca="false">O9/13</f>
        <v>0</v>
      </c>
    </row>
    <row r="10" customFormat="false" ht="19.5" hidden="false" customHeight="true" outlineLevel="0" collapsed="false">
      <c r="A10" s="29" t="s">
        <v>87</v>
      </c>
      <c r="B10" s="56" t="n">
        <f aca="false">B8+B9</f>
        <v>18000</v>
      </c>
      <c r="C10" s="56" t="n">
        <f aca="false">C8+C9</f>
        <v>18000</v>
      </c>
      <c r="D10" s="56" t="n">
        <f aca="false">D8+D9</f>
        <v>18000</v>
      </c>
      <c r="E10" s="56" t="n">
        <f aca="false">E8+E9</f>
        <v>18000</v>
      </c>
      <c r="F10" s="56" t="n">
        <f aca="false">F8+F9</f>
        <v>18000</v>
      </c>
      <c r="G10" s="56" t="n">
        <f aca="false">G8+G9</f>
        <v>18000</v>
      </c>
      <c r="H10" s="56" t="n">
        <f aca="false">H8+H9</f>
        <v>18000</v>
      </c>
      <c r="I10" s="56" t="n">
        <f aca="false">I8+I9</f>
        <v>18000</v>
      </c>
      <c r="J10" s="56" t="n">
        <f aca="false">J8+J9</f>
        <v>18000</v>
      </c>
      <c r="K10" s="56" t="n">
        <f aca="false">K8+K9</f>
        <v>18000</v>
      </c>
      <c r="L10" s="56" t="n">
        <f aca="false">L8+L9</f>
        <v>18000</v>
      </c>
      <c r="M10" s="56" t="n">
        <f aca="false">M8+M9</f>
        <v>18000</v>
      </c>
      <c r="N10" s="56" t="n">
        <f aca="false">N8+N9</f>
        <v>18000</v>
      </c>
      <c r="O10" s="31" t="n">
        <f aca="false">SUM(B10:N10)</f>
        <v>234000</v>
      </c>
      <c r="P10" s="57" t="n">
        <f aca="false">O10/13</f>
        <v>18000</v>
      </c>
    </row>
    <row r="11" customFormat="false" ht="21.75" hidden="false" customHeight="true" outlineLevel="0" collapsed="false">
      <c r="A11" s="3" t="s">
        <v>88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customFormat="false" ht="19.5" hidden="false" customHeight="true" outlineLevel="0" collapsed="false">
      <c r="A12" s="45" t="s">
        <v>89</v>
      </c>
      <c r="B12" s="48" t="n">
        <f aca="false">Config!$B$19*0.6</f>
        <v>7200</v>
      </c>
      <c r="C12" s="48" t="n">
        <f aca="false">Config!$B$19*0.6</f>
        <v>7200</v>
      </c>
      <c r="D12" s="48" t="n">
        <f aca="false">Config!$B$19*0.6</f>
        <v>7200</v>
      </c>
      <c r="E12" s="48" t="n">
        <f aca="false">Config!$B$19*0.6</f>
        <v>7200</v>
      </c>
      <c r="F12" s="48" t="n">
        <f aca="false">Config!$B$19*0.6</f>
        <v>7200</v>
      </c>
      <c r="G12" s="48" t="n">
        <f aca="false">Config!$B$19*0.6</f>
        <v>7200</v>
      </c>
      <c r="H12" s="48" t="n">
        <f aca="false">Config!$B$19*0.6</f>
        <v>7200</v>
      </c>
      <c r="I12" s="48" t="n">
        <f aca="false">Config!$B$19*0.6</f>
        <v>7200</v>
      </c>
      <c r="J12" s="48" t="n">
        <f aca="false">Config!$B$19*0.6</f>
        <v>7200</v>
      </c>
      <c r="K12" s="48" t="n">
        <f aca="false">Config!$B$19*0.6</f>
        <v>7200</v>
      </c>
      <c r="L12" s="48" t="n">
        <f aca="false">Config!$B$19*0.6</f>
        <v>7200</v>
      </c>
      <c r="M12" s="48" t="n">
        <f aca="false">Config!$B$19*0.6</f>
        <v>7200</v>
      </c>
      <c r="N12" s="48" t="n">
        <f aca="false">Config!$B$19*0.6</f>
        <v>7200</v>
      </c>
      <c r="O12" s="54" t="n">
        <f aca="false">SUM(B12:N12)</f>
        <v>93600</v>
      </c>
      <c r="P12" s="55" t="n">
        <f aca="false">O12/13</f>
        <v>7200</v>
      </c>
    </row>
    <row r="13" customFormat="false" ht="19.5" hidden="false" customHeight="true" outlineLevel="0" collapsed="false">
      <c r="A13" s="42" t="s">
        <v>90</v>
      </c>
      <c r="B13" s="48" t="n">
        <f aca="false">Config!$B$19*0.2</f>
        <v>2400</v>
      </c>
      <c r="C13" s="48" t="n">
        <f aca="false">Config!$B$19*0.2</f>
        <v>2400</v>
      </c>
      <c r="D13" s="48" t="n">
        <f aca="false">Config!$B$19*0.2</f>
        <v>2400</v>
      </c>
      <c r="E13" s="48" t="n">
        <f aca="false">Config!$B$19*0.2</f>
        <v>2400</v>
      </c>
      <c r="F13" s="48" t="n">
        <f aca="false">Config!$B$19*0.2</f>
        <v>2400</v>
      </c>
      <c r="G13" s="48" t="n">
        <f aca="false">Config!$B$19*0.2</f>
        <v>2400</v>
      </c>
      <c r="H13" s="48" t="n">
        <f aca="false">Config!$B$19*0.2</f>
        <v>2400</v>
      </c>
      <c r="I13" s="48" t="n">
        <f aca="false">Config!$B$19*0.2</f>
        <v>2400</v>
      </c>
      <c r="J13" s="48" t="n">
        <f aca="false">Config!$B$19*0.2</f>
        <v>2400</v>
      </c>
      <c r="K13" s="48" t="n">
        <f aca="false">Config!$B$19*0.2</f>
        <v>2400</v>
      </c>
      <c r="L13" s="48" t="n">
        <f aca="false">Config!$B$19*0.2</f>
        <v>2400</v>
      </c>
      <c r="M13" s="48" t="n">
        <f aca="false">Config!$B$19*0.2</f>
        <v>2400</v>
      </c>
      <c r="N13" s="48" t="n">
        <f aca="false">Config!$B$19*0.2</f>
        <v>2400</v>
      </c>
      <c r="O13" s="54" t="n">
        <f aca="false">SUM(B13:N13)</f>
        <v>31200</v>
      </c>
      <c r="P13" s="55" t="n">
        <f aca="false">O13/13</f>
        <v>2400</v>
      </c>
    </row>
    <row r="14" customFormat="false" ht="19.5" hidden="false" customHeight="true" outlineLevel="0" collapsed="false">
      <c r="A14" s="45" t="s">
        <v>91</v>
      </c>
      <c r="B14" s="48" t="n">
        <f aca="false">Config!$B$19*0.2</f>
        <v>2400</v>
      </c>
      <c r="C14" s="48" t="n">
        <f aca="false">Config!$B$19*0.2</f>
        <v>2400</v>
      </c>
      <c r="D14" s="48" t="n">
        <f aca="false">Config!$B$19*0.2</f>
        <v>2400</v>
      </c>
      <c r="E14" s="48" t="n">
        <f aca="false">Config!$B$19*0.2</f>
        <v>2400</v>
      </c>
      <c r="F14" s="48" t="n">
        <f aca="false">Config!$B$19*0.2</f>
        <v>2400</v>
      </c>
      <c r="G14" s="48" t="n">
        <f aca="false">Config!$B$19*0.2</f>
        <v>2400</v>
      </c>
      <c r="H14" s="48" t="n">
        <f aca="false">Config!$B$19*0.2</f>
        <v>2400</v>
      </c>
      <c r="I14" s="48" t="n">
        <f aca="false">Config!$B$19*0.2</f>
        <v>2400</v>
      </c>
      <c r="J14" s="48" t="n">
        <f aca="false">Config!$B$19*0.2</f>
        <v>2400</v>
      </c>
      <c r="K14" s="48" t="n">
        <f aca="false">Config!$B$19*0.2</f>
        <v>2400</v>
      </c>
      <c r="L14" s="48" t="n">
        <f aca="false">Config!$B$19*0.2</f>
        <v>2400</v>
      </c>
      <c r="M14" s="48" t="n">
        <f aca="false">Config!$B$19*0.2</f>
        <v>2400</v>
      </c>
      <c r="N14" s="48" t="n">
        <f aca="false">Config!$B$19*0.2</f>
        <v>2400</v>
      </c>
      <c r="O14" s="54" t="n">
        <f aca="false">SUM(B14:N14)</f>
        <v>31200</v>
      </c>
      <c r="P14" s="55" t="n">
        <f aca="false">O14/13</f>
        <v>2400</v>
      </c>
    </row>
    <row r="15" customFormat="false" ht="19.5" hidden="false" customHeight="true" outlineLevel="0" collapsed="false">
      <c r="A15" s="34" t="s">
        <v>92</v>
      </c>
      <c r="B15" s="58" t="n">
        <f aca="false">B12+B13+B14</f>
        <v>12000</v>
      </c>
      <c r="C15" s="58" t="n">
        <f aca="false">C12+C13+C14</f>
        <v>12000</v>
      </c>
      <c r="D15" s="58" t="n">
        <f aca="false">D12+D13+D14</f>
        <v>12000</v>
      </c>
      <c r="E15" s="58" t="n">
        <f aca="false">E12+E13+E14</f>
        <v>12000</v>
      </c>
      <c r="F15" s="58" t="n">
        <f aca="false">F12+F13+F14</f>
        <v>12000</v>
      </c>
      <c r="G15" s="58" t="n">
        <f aca="false">G12+G13+G14</f>
        <v>12000</v>
      </c>
      <c r="H15" s="58" t="n">
        <f aca="false">H12+H13+H14</f>
        <v>12000</v>
      </c>
      <c r="I15" s="58" t="n">
        <f aca="false">I12+I13+I14</f>
        <v>12000</v>
      </c>
      <c r="J15" s="58" t="n">
        <f aca="false">J12+J13+J14</f>
        <v>12000</v>
      </c>
      <c r="K15" s="58" t="n">
        <f aca="false">K12+K13+K14</f>
        <v>12000</v>
      </c>
      <c r="L15" s="58" t="n">
        <f aca="false">L12+L13+L14</f>
        <v>12000</v>
      </c>
      <c r="M15" s="58" t="n">
        <f aca="false">M12+M13+M14</f>
        <v>12000</v>
      </c>
      <c r="N15" s="58" t="n">
        <f aca="false">N12+N13+N14</f>
        <v>12000</v>
      </c>
      <c r="O15" s="36" t="n">
        <f aca="false">SUM(B15:N15)</f>
        <v>156000</v>
      </c>
      <c r="P15" s="59" t="n">
        <f aca="false">O15/13</f>
        <v>12000</v>
      </c>
    </row>
    <row r="16" customFormat="false" ht="21.75" hidden="false" customHeight="true" outlineLevel="0" collapsed="false">
      <c r="A16" s="3" t="s">
        <v>93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customFormat="false" ht="19.5" hidden="false" customHeight="true" outlineLevel="0" collapsed="false">
      <c r="A17" s="42" t="s">
        <v>94</v>
      </c>
      <c r="B17" s="48" t="n">
        <f aca="false">Config!$B$20*0.6</f>
        <v>1800</v>
      </c>
      <c r="C17" s="48" t="n">
        <f aca="false">Config!$B$20*0.6</f>
        <v>1800</v>
      </c>
      <c r="D17" s="48" t="n">
        <f aca="false">Config!$B$20*0.6</f>
        <v>1800</v>
      </c>
      <c r="E17" s="48" t="n">
        <f aca="false">Config!$B$20*0.6</f>
        <v>1800</v>
      </c>
      <c r="F17" s="48" t="n">
        <f aca="false">Config!$B$20*0.6</f>
        <v>1800</v>
      </c>
      <c r="G17" s="48" t="n">
        <f aca="false">Config!$B$20*0.6</f>
        <v>1800</v>
      </c>
      <c r="H17" s="48" t="n">
        <f aca="false">Config!$B$20*0.6</f>
        <v>1800</v>
      </c>
      <c r="I17" s="48" t="n">
        <f aca="false">Config!$B$20*0.6</f>
        <v>1800</v>
      </c>
      <c r="J17" s="48" t="n">
        <f aca="false">Config!$B$20*0.6</f>
        <v>1800</v>
      </c>
      <c r="K17" s="48" t="n">
        <f aca="false">Config!$B$20*0.6</f>
        <v>1800</v>
      </c>
      <c r="L17" s="48" t="n">
        <f aca="false">Config!$B$20*0.6</f>
        <v>1800</v>
      </c>
      <c r="M17" s="48" t="n">
        <f aca="false">Config!$B$20*0.6</f>
        <v>1800</v>
      </c>
      <c r="N17" s="48" t="n">
        <f aca="false">Config!$B$20*0.6</f>
        <v>1800</v>
      </c>
      <c r="O17" s="54" t="n">
        <f aca="false">SUM(B17:N17)</f>
        <v>23400</v>
      </c>
      <c r="P17" s="55" t="n">
        <f aca="false">O17/13</f>
        <v>1800</v>
      </c>
    </row>
    <row r="18" customFormat="false" ht="19.5" hidden="false" customHeight="true" outlineLevel="0" collapsed="false">
      <c r="A18" s="45" t="s">
        <v>95</v>
      </c>
      <c r="B18" s="48" t="n">
        <v>0</v>
      </c>
      <c r="C18" s="48" t="n">
        <v>0</v>
      </c>
      <c r="D18" s="48" t="n">
        <v>0</v>
      </c>
      <c r="E18" s="48" t="n">
        <v>0</v>
      </c>
      <c r="F18" s="48" t="n">
        <v>0</v>
      </c>
      <c r="G18" s="48" t="n">
        <v>0</v>
      </c>
      <c r="H18" s="48" t="n">
        <v>0</v>
      </c>
      <c r="I18" s="48" t="n">
        <v>0</v>
      </c>
      <c r="J18" s="48" t="n">
        <v>0</v>
      </c>
      <c r="K18" s="48" t="n">
        <v>0</v>
      </c>
      <c r="L18" s="48" t="n">
        <v>0</v>
      </c>
      <c r="M18" s="48" t="n">
        <v>0</v>
      </c>
      <c r="N18" s="48" t="n">
        <v>0</v>
      </c>
      <c r="O18" s="54" t="n">
        <f aca="false">SUM(B18:N18)</f>
        <v>0</v>
      </c>
      <c r="P18" s="55" t="n">
        <f aca="false">O18/13</f>
        <v>0</v>
      </c>
    </row>
    <row r="19" customFormat="false" ht="19.5" hidden="false" customHeight="true" outlineLevel="0" collapsed="false">
      <c r="A19" s="42" t="s">
        <v>96</v>
      </c>
      <c r="B19" s="48" t="n">
        <v>0</v>
      </c>
      <c r="C19" s="48" t="n">
        <v>0</v>
      </c>
      <c r="D19" s="48" t="n">
        <v>0</v>
      </c>
      <c r="E19" s="48" t="n">
        <v>0</v>
      </c>
      <c r="F19" s="48" t="n">
        <v>0</v>
      </c>
      <c r="G19" s="48" t="n">
        <v>0</v>
      </c>
      <c r="H19" s="48" t="n">
        <v>0</v>
      </c>
      <c r="I19" s="48" t="n">
        <v>0</v>
      </c>
      <c r="J19" s="48" t="n">
        <v>0</v>
      </c>
      <c r="K19" s="48" t="n">
        <v>0</v>
      </c>
      <c r="L19" s="48" t="n">
        <v>0</v>
      </c>
      <c r="M19" s="48" t="n">
        <v>0</v>
      </c>
      <c r="N19" s="48" t="n">
        <v>0</v>
      </c>
      <c r="O19" s="54" t="n">
        <f aca="false">SUM(B19:N19)</f>
        <v>0</v>
      </c>
      <c r="P19" s="55" t="n">
        <f aca="false">O19/13</f>
        <v>0</v>
      </c>
    </row>
    <row r="20" customFormat="false" ht="19.5" hidden="false" customHeight="true" outlineLevel="0" collapsed="false">
      <c r="A20" s="45" t="s">
        <v>97</v>
      </c>
      <c r="B20" s="48" t="n">
        <v>0</v>
      </c>
      <c r="C20" s="48" t="n">
        <v>0</v>
      </c>
      <c r="D20" s="48" t="n">
        <v>0</v>
      </c>
      <c r="E20" s="48" t="n">
        <v>0</v>
      </c>
      <c r="F20" s="48" t="n">
        <v>0</v>
      </c>
      <c r="G20" s="48" t="n">
        <v>0</v>
      </c>
      <c r="H20" s="48" t="n">
        <v>0</v>
      </c>
      <c r="I20" s="48" t="n">
        <v>0</v>
      </c>
      <c r="J20" s="48" t="n">
        <v>0</v>
      </c>
      <c r="K20" s="48" t="n">
        <v>0</v>
      </c>
      <c r="L20" s="48" t="n">
        <v>0</v>
      </c>
      <c r="M20" s="48" t="n">
        <v>0</v>
      </c>
      <c r="N20" s="48" t="n">
        <v>0</v>
      </c>
      <c r="O20" s="54" t="n">
        <f aca="false">SUM(B20:N20)</f>
        <v>0</v>
      </c>
      <c r="P20" s="55" t="n">
        <f aca="false">O20/13</f>
        <v>0</v>
      </c>
    </row>
    <row r="21" customFormat="false" ht="19.5" hidden="false" customHeight="true" outlineLevel="0" collapsed="false">
      <c r="A21" s="34" t="s">
        <v>98</v>
      </c>
      <c r="B21" s="58" t="n">
        <f aca="false">B17+B18+B19+B20</f>
        <v>1800</v>
      </c>
      <c r="C21" s="58" t="n">
        <f aca="false">C17+C18+C19+C20</f>
        <v>1800</v>
      </c>
      <c r="D21" s="58" t="n">
        <f aca="false">D17+D18+D19+D20</f>
        <v>1800</v>
      </c>
      <c r="E21" s="58" t="n">
        <f aca="false">E17+E18+E19+E20</f>
        <v>1800</v>
      </c>
      <c r="F21" s="58" t="n">
        <f aca="false">F17+F18+F19+F20</f>
        <v>1800</v>
      </c>
      <c r="G21" s="58" t="n">
        <f aca="false">G17+G18+G19+G20</f>
        <v>1800</v>
      </c>
      <c r="H21" s="58" t="n">
        <f aca="false">H17+H18+H19+H20</f>
        <v>1800</v>
      </c>
      <c r="I21" s="58" t="n">
        <f aca="false">I17+I18+I19+I20</f>
        <v>1800</v>
      </c>
      <c r="J21" s="58" t="n">
        <f aca="false">J17+J18+J19+J20</f>
        <v>1800</v>
      </c>
      <c r="K21" s="58" t="n">
        <f aca="false">K17+K18+K19+K20</f>
        <v>1800</v>
      </c>
      <c r="L21" s="58" t="n">
        <f aca="false">L17+L18+L19+L20</f>
        <v>1800</v>
      </c>
      <c r="M21" s="58" t="n">
        <f aca="false">M17+M18+M19+M20</f>
        <v>1800</v>
      </c>
      <c r="N21" s="58" t="n">
        <f aca="false">N17+N18+N19+N20</f>
        <v>1800</v>
      </c>
      <c r="O21" s="36" t="n">
        <f aca="false">SUM(B21:N21)</f>
        <v>23400</v>
      </c>
      <c r="P21" s="59" t="n">
        <f aca="false">O21/13</f>
        <v>1800</v>
      </c>
    </row>
    <row r="22" customFormat="false" ht="21.75" hidden="false" customHeight="true" outlineLevel="0" collapsed="false">
      <c r="A22" s="3" t="s">
        <v>99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customFormat="false" ht="19.5" hidden="false" customHeight="true" outlineLevel="0" collapsed="false">
      <c r="A23" s="60" t="s">
        <v>100</v>
      </c>
      <c r="B23" s="61" t="n">
        <f aca="false">B10-B15-B21</f>
        <v>4200</v>
      </c>
      <c r="C23" s="61" t="n">
        <f aca="false">C10-C15-C21</f>
        <v>4200</v>
      </c>
      <c r="D23" s="61" t="n">
        <f aca="false">D10-D15-D21</f>
        <v>4200</v>
      </c>
      <c r="E23" s="61" t="n">
        <f aca="false">E10-E15-E21</f>
        <v>4200</v>
      </c>
      <c r="F23" s="61" t="n">
        <f aca="false">F10-F15-F21</f>
        <v>4200</v>
      </c>
      <c r="G23" s="61" t="n">
        <f aca="false">G10-G15-G21</f>
        <v>4200</v>
      </c>
      <c r="H23" s="61" t="n">
        <f aca="false">H10-H15-H21</f>
        <v>4200</v>
      </c>
      <c r="I23" s="61" t="n">
        <f aca="false">I10-I15-I21</f>
        <v>4200</v>
      </c>
      <c r="J23" s="61" t="n">
        <f aca="false">J10-J15-J21</f>
        <v>4200</v>
      </c>
      <c r="K23" s="61" t="n">
        <f aca="false">K10-K15-K21</f>
        <v>4200</v>
      </c>
      <c r="L23" s="61" t="n">
        <f aca="false">L10-L15-L21</f>
        <v>4200</v>
      </c>
      <c r="M23" s="61" t="n">
        <f aca="false">M10-M15-M21</f>
        <v>4200</v>
      </c>
      <c r="N23" s="61" t="n">
        <f aca="false">N10-N15-N21</f>
        <v>4200</v>
      </c>
      <c r="O23" s="62" t="n">
        <f aca="false">SUM(B23:N23)</f>
        <v>54600</v>
      </c>
      <c r="P23" s="63" t="n">
        <f aca="false">O23/13</f>
        <v>4200</v>
      </c>
    </row>
    <row r="24" customFormat="false" ht="19.5" hidden="false" customHeight="true" outlineLevel="0" collapsed="false">
      <c r="A24" s="22" t="s">
        <v>101</v>
      </c>
      <c r="B24" s="64" t="n">
        <f aca="false">Config!$B$12+B23</f>
        <v>84200</v>
      </c>
      <c r="C24" s="64" t="n">
        <f aca="false">B24+C23</f>
        <v>88400</v>
      </c>
      <c r="D24" s="64" t="n">
        <f aca="false">C24+D23</f>
        <v>92600</v>
      </c>
      <c r="E24" s="64" t="n">
        <f aca="false">D24+E23</f>
        <v>96800</v>
      </c>
      <c r="F24" s="64" t="n">
        <f aca="false">E24+F23</f>
        <v>101000</v>
      </c>
      <c r="G24" s="64" t="n">
        <f aca="false">F24+G23</f>
        <v>105200</v>
      </c>
      <c r="H24" s="64" t="n">
        <f aca="false">G24+H23</f>
        <v>109400</v>
      </c>
      <c r="I24" s="64" t="n">
        <f aca="false">H24+I23</f>
        <v>113600</v>
      </c>
      <c r="J24" s="64" t="n">
        <f aca="false">I24+J23</f>
        <v>117800</v>
      </c>
      <c r="K24" s="64" t="n">
        <f aca="false">J24+K23</f>
        <v>122000</v>
      </c>
      <c r="L24" s="64" t="n">
        <f aca="false">K24+L23</f>
        <v>126200</v>
      </c>
      <c r="M24" s="64" t="n">
        <f aca="false">L24+M23</f>
        <v>130400</v>
      </c>
      <c r="N24" s="64" t="n">
        <f aca="false">M24+N23</f>
        <v>134600</v>
      </c>
      <c r="O24" s="64" t="n">
        <f aca="false">N24</f>
        <v>134600</v>
      </c>
      <c r="P24" s="65"/>
    </row>
    <row r="25" customFormat="false" ht="19.5" hidden="false" customHeight="true" outlineLevel="0" collapsed="false">
      <c r="A25" s="66" t="s">
        <v>102</v>
      </c>
      <c r="B25" s="67" t="str">
        <f aca="false">IF(B24&lt;Config!$B$13,"🚨 DANGER",IF(B24&lt;Config!$B$14,"⚠️ Vigilance",IF(B24&lt;Config!$B$15,"🔔 Surveiller","✅ OK")))</f>
        <v>✅ OK</v>
      </c>
      <c r="C25" s="68" t="str">
        <f aca="false">IF(C24&lt;Config!$B$13,"🚨 DANGER",IF(C24&lt;Config!$B$14,"⚠️ Vigilance",IF(C24&lt;Config!$B$15,"🔔 Surveiller","✅ OK")))</f>
        <v>✅ OK</v>
      </c>
      <c r="D25" s="67" t="str">
        <f aca="false">IF(D24&lt;Config!$B$13,"🚨 DANGER",IF(D24&lt;Config!$B$14,"⚠️ Vigilance",IF(D24&lt;Config!$B$15,"🔔 Surveiller","✅ OK")))</f>
        <v>✅ OK</v>
      </c>
      <c r="E25" s="68" t="str">
        <f aca="false">IF(E24&lt;Config!$B$13,"🚨 DANGER",IF(E24&lt;Config!$B$14,"⚠️ Vigilance",IF(E24&lt;Config!$B$15,"🔔 Surveiller","✅ OK")))</f>
        <v>✅ OK</v>
      </c>
      <c r="F25" s="67" t="str">
        <f aca="false">IF(F24&lt;Config!$B$13,"🚨 DANGER",IF(F24&lt;Config!$B$14,"⚠️ Vigilance",IF(F24&lt;Config!$B$15,"🔔 Surveiller","✅ OK")))</f>
        <v>✅ OK</v>
      </c>
      <c r="G25" s="68" t="str">
        <f aca="false">IF(G24&lt;Config!$B$13,"🚨 DANGER",IF(G24&lt;Config!$B$14,"⚠️ Vigilance",IF(G24&lt;Config!$B$15,"🔔 Surveiller","✅ OK")))</f>
        <v>✅ OK</v>
      </c>
      <c r="H25" s="67" t="str">
        <f aca="false">IF(H24&lt;Config!$B$13,"🚨 DANGER",IF(H24&lt;Config!$B$14,"⚠️ Vigilance",IF(H24&lt;Config!$B$15,"🔔 Surveiller","✅ OK")))</f>
        <v>✅ OK</v>
      </c>
      <c r="I25" s="68" t="str">
        <f aca="false">IF(I24&lt;Config!$B$13,"🚨 DANGER",IF(I24&lt;Config!$B$14,"⚠️ Vigilance",IF(I24&lt;Config!$B$15,"🔔 Surveiller","✅ OK")))</f>
        <v>✅ OK</v>
      </c>
      <c r="J25" s="67" t="str">
        <f aca="false">IF(J24&lt;Config!$B$13,"🚨 DANGER",IF(J24&lt;Config!$B$14,"⚠️ Vigilance",IF(J24&lt;Config!$B$15,"🔔 Surveiller","✅ OK")))</f>
        <v>✅ OK</v>
      </c>
      <c r="K25" s="68" t="str">
        <f aca="false">IF(K24&lt;Config!$B$13,"🚨 DANGER",IF(K24&lt;Config!$B$14,"⚠️ Vigilance",IF(K24&lt;Config!$B$15,"🔔 Surveiller","✅ OK")))</f>
        <v>✅ OK</v>
      </c>
      <c r="L25" s="67" t="str">
        <f aca="false">IF(L24&lt;Config!$B$13,"🚨 DANGER",IF(L24&lt;Config!$B$14,"⚠️ Vigilance",IF(L24&lt;Config!$B$15,"🔔 Surveiller","✅ OK")))</f>
        <v>✅ OK</v>
      </c>
      <c r="M25" s="68" t="str">
        <f aca="false">IF(M24&lt;Config!$B$13,"🚨 DANGER",IF(M24&lt;Config!$B$14,"⚠️ Vigilance",IF(M24&lt;Config!$B$15,"🔔 Surveiller","✅ OK")))</f>
        <v>✅ OK</v>
      </c>
      <c r="N25" s="67" t="str">
        <f aca="false">IF(N24&lt;Config!$B$13,"🚨 DANGER",IF(N24&lt;Config!$B$14,"⚠️ Vigilance",IF(N24&lt;Config!$B$15,"🔔 Surveiller","✅ OK")))</f>
        <v>✅ OK</v>
      </c>
      <c r="O25" s="25"/>
      <c r="P25" s="25"/>
    </row>
  </sheetData>
  <mergeCells count="8">
    <mergeCell ref="A2:P2"/>
    <mergeCell ref="B6:E6"/>
    <mergeCell ref="F6:J6"/>
    <mergeCell ref="K6:N6"/>
    <mergeCell ref="A7:P7"/>
    <mergeCell ref="A11:P11"/>
    <mergeCell ref="A16:P16"/>
    <mergeCell ref="A22:P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2026-05-10T17:31:35Z</dcterms:created>
  <dc:creator>openpyxl</dc:creator>
  <dc:description/>
  <dc:language>en-US</dc:language>
  <cp:lastModifiedBy/>
  <dcterms:modified xsi:type="dcterms:W3CDTF">2026-05-10T17:31:35Z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